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\Desktop\BIOSEÑALES\STEMDATA2\"/>
    </mc:Choice>
  </mc:AlternateContent>
  <xr:revisionPtr revIDLastSave="0" documentId="13_ncr:1_{A30FE18A-DD70-4C3C-A26F-97C2CEF409D2}" xr6:coauthVersionLast="47" xr6:coauthVersionMax="47" xr10:uidLastSave="{00000000-0000-0000-0000-000000000000}"/>
  <bookViews>
    <workbookView xWindow="-120" yWindow="-120" windowWidth="29040" windowHeight="15720" activeTab="1" xr2:uid="{6EDF993F-75B5-44DD-8151-C9BED158B781}"/>
  </bookViews>
  <sheets>
    <sheet name="Individual metadata" sheetId="1" r:id="rId1"/>
    <sheet name="Group 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4" i="1" l="1"/>
  <c r="N64" i="1"/>
  <c r="J64" i="1"/>
  <c r="R63" i="1"/>
  <c r="N63" i="1"/>
  <c r="J63" i="1"/>
  <c r="R62" i="1"/>
  <c r="N62" i="1"/>
  <c r="J62" i="1"/>
  <c r="R61" i="1"/>
  <c r="N61" i="1"/>
  <c r="J61" i="1"/>
  <c r="R60" i="1"/>
  <c r="N60" i="1"/>
  <c r="J60" i="1"/>
  <c r="R59" i="1"/>
  <c r="N59" i="1"/>
  <c r="J59" i="1"/>
  <c r="R58" i="1"/>
  <c r="N58" i="1"/>
  <c r="J58" i="1"/>
  <c r="R57" i="1"/>
  <c r="N57" i="1"/>
  <c r="J57" i="1"/>
  <c r="R56" i="1"/>
  <c r="N56" i="1"/>
  <c r="J56" i="1"/>
  <c r="R55" i="1"/>
  <c r="N55" i="1"/>
  <c r="J55" i="1"/>
  <c r="R54" i="1"/>
  <c r="N54" i="1"/>
  <c r="J54" i="1"/>
  <c r="R53" i="1"/>
  <c r="N53" i="1"/>
  <c r="J53" i="1"/>
  <c r="R52" i="1"/>
  <c r="N52" i="1"/>
  <c r="J52" i="1"/>
  <c r="R51" i="1"/>
  <c r="N51" i="1"/>
  <c r="J51" i="1"/>
  <c r="R50" i="1"/>
  <c r="N50" i="1"/>
  <c r="J50" i="1"/>
  <c r="R49" i="1"/>
  <c r="N49" i="1"/>
  <c r="J49" i="1"/>
  <c r="R48" i="1"/>
  <c r="N48" i="1"/>
  <c r="J48" i="1"/>
  <c r="R47" i="1"/>
  <c r="N47" i="1"/>
  <c r="J47" i="1"/>
  <c r="R46" i="1"/>
  <c r="N46" i="1"/>
  <c r="J46" i="1"/>
  <c r="R45" i="1"/>
  <c r="N45" i="1"/>
  <c r="J45" i="1"/>
  <c r="R44" i="1"/>
  <c r="N44" i="1"/>
  <c r="J44" i="1"/>
  <c r="R43" i="1"/>
  <c r="N43" i="1"/>
  <c r="J43" i="1"/>
  <c r="R42" i="1"/>
  <c r="N42" i="1"/>
  <c r="J42" i="1"/>
  <c r="R41" i="1"/>
  <c r="N41" i="1"/>
  <c r="J41" i="1"/>
  <c r="R40" i="1"/>
  <c r="N40" i="1"/>
  <c r="J40" i="1"/>
  <c r="R39" i="1"/>
  <c r="N39" i="1"/>
  <c r="J39" i="1"/>
  <c r="R38" i="1"/>
  <c r="N38" i="1"/>
  <c r="J38" i="1"/>
  <c r="R37" i="1"/>
  <c r="N37" i="1"/>
  <c r="J37" i="1"/>
  <c r="R36" i="1"/>
  <c r="N36" i="1"/>
  <c r="J36" i="1"/>
  <c r="R35" i="1"/>
  <c r="N35" i="1"/>
  <c r="J35" i="1"/>
  <c r="R34" i="1"/>
  <c r="N34" i="1"/>
  <c r="J34" i="1"/>
  <c r="R33" i="1"/>
  <c r="N33" i="1"/>
  <c r="J33" i="1"/>
  <c r="R32" i="1"/>
  <c r="N32" i="1"/>
  <c r="J32" i="1"/>
  <c r="R31" i="1"/>
  <c r="N31" i="1"/>
  <c r="J31" i="1"/>
  <c r="R30" i="1"/>
  <c r="N30" i="1"/>
  <c r="J30" i="1"/>
  <c r="R29" i="1"/>
  <c r="N29" i="1"/>
  <c r="J29" i="1"/>
  <c r="R28" i="1"/>
  <c r="N28" i="1"/>
  <c r="J28" i="1"/>
  <c r="R27" i="1"/>
  <c r="N27" i="1"/>
  <c r="J27" i="1"/>
  <c r="R26" i="1"/>
  <c r="N26" i="1"/>
  <c r="J26" i="1"/>
  <c r="R25" i="1"/>
  <c r="N25" i="1"/>
  <c r="J25" i="1"/>
  <c r="R24" i="1"/>
  <c r="N24" i="1"/>
  <c r="J24" i="1"/>
  <c r="R23" i="1"/>
  <c r="N23" i="1"/>
  <c r="J23" i="1"/>
  <c r="R22" i="1"/>
  <c r="N22" i="1"/>
  <c r="J22" i="1"/>
  <c r="R21" i="1"/>
  <c r="N21" i="1"/>
  <c r="J21" i="1"/>
  <c r="R20" i="1"/>
  <c r="N20" i="1"/>
  <c r="J20" i="1"/>
  <c r="R19" i="1"/>
  <c r="N19" i="1"/>
  <c r="J19" i="1"/>
  <c r="R18" i="1"/>
  <c r="N18" i="1"/>
  <c r="J18" i="1"/>
  <c r="R17" i="1"/>
  <c r="N17" i="1"/>
  <c r="J17" i="1"/>
  <c r="R16" i="1"/>
  <c r="N16" i="1"/>
  <c r="J16" i="1"/>
  <c r="R15" i="1"/>
  <c r="N15" i="1"/>
  <c r="J15" i="1"/>
  <c r="R14" i="1"/>
  <c r="N14" i="1"/>
  <c r="J14" i="1"/>
  <c r="R13" i="1"/>
  <c r="N13" i="1"/>
  <c r="J13" i="1"/>
  <c r="R12" i="1"/>
  <c r="N12" i="1"/>
  <c r="J12" i="1"/>
  <c r="R11" i="1"/>
  <c r="N11" i="1"/>
  <c r="J11" i="1"/>
  <c r="R10" i="1"/>
  <c r="N10" i="1"/>
  <c r="J10" i="1"/>
  <c r="R9" i="1"/>
  <c r="N9" i="1"/>
  <c r="J9" i="1"/>
  <c r="R8" i="1"/>
  <c r="N8" i="1"/>
  <c r="J8" i="1"/>
  <c r="R7" i="1"/>
  <c r="N7" i="1"/>
  <c r="J7" i="1"/>
  <c r="R6" i="1"/>
  <c r="N6" i="1"/>
  <c r="J6" i="1"/>
  <c r="R5" i="1"/>
  <c r="N5" i="1"/>
  <c r="J5" i="1"/>
  <c r="R4" i="1"/>
  <c r="N4" i="1"/>
  <c r="J4" i="1"/>
  <c r="R3" i="1"/>
  <c r="N3" i="1"/>
  <c r="J3" i="1"/>
  <c r="R2" i="1"/>
  <c r="N2" i="1"/>
  <c r="J2" i="1"/>
</calcChain>
</file>

<file path=xl/sharedStrings.xml><?xml version="1.0" encoding="utf-8"?>
<sst xmlns="http://schemas.openxmlformats.org/spreadsheetml/2006/main" count="218" uniqueCount="93">
  <si>
    <t>ID</t>
  </si>
  <si>
    <t>Group</t>
  </si>
  <si>
    <t>Age</t>
  </si>
  <si>
    <t>AAB Sex</t>
  </si>
  <si>
    <t>Percieved Math Abilities (Likert 5 point scale)</t>
  </si>
  <si>
    <t>Percieved Programming Abilities (Likert 5 point scale)</t>
  </si>
  <si>
    <t>Percieved Spatial Abilities (Likert 5 point scale)</t>
  </si>
  <si>
    <t>Total math questions answered</t>
  </si>
  <si>
    <t>Total math correct answers</t>
  </si>
  <si>
    <t>Math percentage grade</t>
  </si>
  <si>
    <t>Average math section reaction time [s]</t>
  </si>
  <si>
    <t>Total code questions answered</t>
  </si>
  <si>
    <t>Total code correct answers</t>
  </si>
  <si>
    <t>Code percentage grade</t>
  </si>
  <si>
    <t>Average code section reaction time [s]</t>
  </si>
  <si>
    <t>Total spatial questions answered</t>
  </si>
  <si>
    <t>Total spatial correct answers</t>
  </si>
  <si>
    <t>Spatial percentage grade</t>
  </si>
  <si>
    <t>Average spatial section reaction time [s]</t>
  </si>
  <si>
    <t>sub-01c</t>
  </si>
  <si>
    <t>Control</t>
  </si>
  <si>
    <t>Male</t>
  </si>
  <si>
    <t>sub-02c</t>
  </si>
  <si>
    <t>sub-03c</t>
  </si>
  <si>
    <t>Female</t>
  </si>
  <si>
    <t>sub-04c</t>
  </si>
  <si>
    <t>sub-05c</t>
  </si>
  <si>
    <t>sub-06c</t>
  </si>
  <si>
    <t>sub-07c</t>
  </si>
  <si>
    <t>sub-08c</t>
  </si>
  <si>
    <t>sub-09c</t>
  </si>
  <si>
    <t>sub-10c</t>
  </si>
  <si>
    <t>sub-11c</t>
  </si>
  <si>
    <t>sub-12c</t>
  </si>
  <si>
    <t>sub-13c</t>
  </si>
  <si>
    <t>sub-14c</t>
  </si>
  <si>
    <t>sub-15c</t>
  </si>
  <si>
    <t>sub-16c</t>
  </si>
  <si>
    <t>sub-18c</t>
  </si>
  <si>
    <t>sub-19c</t>
  </si>
  <si>
    <t>sub-20c</t>
  </si>
  <si>
    <t>sub-21c</t>
  </si>
  <si>
    <t>sub-22c</t>
  </si>
  <si>
    <t>sub-23c</t>
  </si>
  <si>
    <t>sub-24c</t>
  </si>
  <si>
    <t>sub-01e</t>
  </si>
  <si>
    <t>Experimental</t>
  </si>
  <si>
    <t>sub-02e</t>
  </si>
  <si>
    <t>sub-03e</t>
  </si>
  <si>
    <t>sub-04e</t>
  </si>
  <si>
    <t>sub-05e</t>
  </si>
  <si>
    <t>sub-06e</t>
  </si>
  <si>
    <t>sub-07e</t>
  </si>
  <si>
    <t>sub-08e</t>
  </si>
  <si>
    <t>sub-09e</t>
  </si>
  <si>
    <t>sub-10e</t>
  </si>
  <si>
    <t>sub-11e</t>
  </si>
  <si>
    <t>sub-12e</t>
  </si>
  <si>
    <t>sub-13e</t>
  </si>
  <si>
    <t>sub-14e</t>
  </si>
  <si>
    <t>sub-15e</t>
  </si>
  <si>
    <t>sub-16e</t>
  </si>
  <si>
    <t>sub-17e</t>
  </si>
  <si>
    <t>sub-18e</t>
  </si>
  <si>
    <t>sub-19e</t>
  </si>
  <si>
    <t>sub-20e</t>
  </si>
  <si>
    <t>sub-21e</t>
  </si>
  <si>
    <t>sub-22e</t>
  </si>
  <si>
    <t>sub-23e</t>
  </si>
  <si>
    <t>sub-24e</t>
  </si>
  <si>
    <t>sub-25e</t>
  </si>
  <si>
    <t>sub-26e</t>
  </si>
  <si>
    <t>sub-27e</t>
  </si>
  <si>
    <t>sub-28e</t>
  </si>
  <si>
    <t>sub-29e</t>
  </si>
  <si>
    <t>sub-31e</t>
  </si>
  <si>
    <t>sub-33e</t>
  </si>
  <si>
    <t>sub-34e</t>
  </si>
  <si>
    <t>sub-36e</t>
  </si>
  <si>
    <t>sub-37e</t>
  </si>
  <si>
    <t>sub-38e</t>
  </si>
  <si>
    <t>sub-39e</t>
  </si>
  <si>
    <t>sub-40e</t>
  </si>
  <si>
    <t>sub-41e</t>
  </si>
  <si>
    <t>sub-42e</t>
  </si>
  <si>
    <t>sub-43e</t>
  </si>
  <si>
    <t>Global anonymous accumulated average</t>
  </si>
  <si>
    <t>Lutheal phase count</t>
  </si>
  <si>
    <t>Folicular phase count</t>
  </si>
  <si>
    <t>Irregular phase count</t>
  </si>
  <si>
    <t>Average math performance</t>
  </si>
  <si>
    <t>Average programming performance</t>
  </si>
  <si>
    <t>Average spatial ability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</si>
</sst>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1"/>
    <xf numFmtId="0" fontId="1" fillId="3" borderId="0" xfId="2"/>
    <xf numFmtId="10" fontId="1" fillId="3" borderId="0" xfId="2" applyNumberFormat="1"/>
    <xf numFmtId="164" fontId="1" fillId="3" borderId="0" xfId="2" applyNumberFormat="1"/>
    <xf numFmtId="10" fontId="1" fillId="2" borderId="0" xfId="1" applyNumberFormat="1"/>
    <xf numFmtId="164" fontId="1" fillId="2" borderId="0" xfId="1" applyNumberFormat="1"/>
    <xf numFmtId="0" fontId="1" fillId="4" borderId="0" xfId="3"/>
    <xf numFmtId="0" fontId="1" fillId="5" borderId="0" xfId="4"/>
    <xf numFmtId="10" fontId="1" fillId="5" borderId="0" xfId="4" applyNumberFormat="1"/>
    <xf numFmtId="164" fontId="1" fillId="5" borderId="0" xfId="4" applyNumberFormat="1"/>
    <xf numFmtId="10" fontId="1" fillId="4" borderId="0" xfId="3" applyNumberFormat="1"/>
    <xf numFmtId="164" fontId="1" fillId="4" borderId="0" xfId="3" applyNumberFormat="1"/>
    <xf numFmtId="10" fontId="0" fillId="0" borderId="0" xfId="0" applyNumberFormat="1"/>
  </cellXfs>
  <cellStyles count="5">
    <cellStyle name="20% - Accent1" xfId="1" builtinId="30"/>
    <cellStyle name="20% - Accent2" xfId="3" builtinId="34"/>
    <cellStyle name="40% - Accent1" xfId="2" builtinId="31"/>
    <cellStyle name="40% - Accent2" xfId="4" builtinId="35"/>
    <cellStyle name="Normal" xfId="0" builtinId="0"/>
  </cellStyles>
  <dxfs count="12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  <dxf>
      <numFmt numFmtId="14" formatCode="0.00%"/>
    </dxf>
    <dxf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938646B6-8A12-4D0A-BBC6-3696D3E736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FEC84-BF61-4AF3-8235-B804DF781198}" name="Table3" displayName="Table3" ref="A1:S64" totalsRowShown="0" headerRowDxfId="11">
  <autoFilter ref="A1:S64" xr:uid="{5523F29D-FF28-4367-85F3-CD6BC618C3D6}"/>
  <sortState xmlns:xlrd2="http://schemas.microsoft.com/office/spreadsheetml/2017/richdata2" ref="A2:S64">
    <sortCondition ref="B1:B64"/>
  </sortState>
  <tableColumns count="19">
    <tableColumn id="1" xr3:uid="{443DAD42-E4EE-4CEA-BA3D-58C45C5C13DD}" name="ID"/>
    <tableColumn id="19" xr3:uid="{EC20BC23-E737-47EA-88DB-0EA2D4E1AD64}" name="Group" dataDxfId="10"/>
    <tableColumn id="2" xr3:uid="{3C5F4F5A-4FE1-4A91-B35A-A6FC7B7463B5}" name="Age"/>
    <tableColumn id="3" xr3:uid="{9C3BBC6B-EABB-40E3-AFB7-4D243FB3CC1F}" name="AAB Sex"/>
    <tableColumn id="4" xr3:uid="{C8E57099-A115-4F46-9A0C-765EA3E173B1}" name="Percieved Math Abilities (Likert 5 point scale)"/>
    <tableColumn id="5" xr3:uid="{E4FD8173-2D97-45F1-B4E4-EE5F81CEC1B5}" name="Percieved Programming Abilities (Likert 5 point scale)"/>
    <tableColumn id="6" xr3:uid="{177B7CE9-7072-4653-888E-72F7CA9805DC}" name="Percieved Spatial Abilities (Likert 5 point scale)"/>
    <tableColumn id="7" xr3:uid="{20CE26A9-9492-4278-8074-9537F6973CAD}" name="Total math questions answered"/>
    <tableColumn id="8" xr3:uid="{C9621CE9-4D87-415E-AE48-CF314DA7CAA1}" name="Total math correct answers"/>
    <tableColumn id="16" xr3:uid="{5BB79D1D-5253-4C81-BA59-C3DAC4D91CAA}" name="Math percentage grade" dataDxfId="9">
      <calculatedColumnFormula>Table3[[#This Row],[Total math correct answers]]/Table3[[#This Row],[Total math questions answered]]</calculatedColumnFormula>
    </tableColumn>
    <tableColumn id="9" xr3:uid="{0BD94360-04B4-475F-A5F7-B14B630C26E5}" name="Average math section reaction time [s]" dataDxfId="8"/>
    <tableColumn id="10" xr3:uid="{4E8F4DD2-9AA0-4896-A461-C944831D7DB8}" name="Total code questions answered"/>
    <tableColumn id="11" xr3:uid="{57427383-8B79-40D9-A1F5-25ED330DA8B9}" name="Total code correct answers"/>
    <tableColumn id="17" xr3:uid="{53A01498-0D97-487A-A507-C0CC40A5C839}" name="Code percentage grade" dataDxfId="7">
      <calculatedColumnFormula>Table3[[#This Row],[Total code correct answers]]/Table3[[#This Row],[Total code questions answered]]</calculatedColumnFormula>
    </tableColumn>
    <tableColumn id="12" xr3:uid="{064123A7-3E75-4210-A0F0-1E557C88964B}" name="Average code section reaction time [s]" dataDxfId="6"/>
    <tableColumn id="13" xr3:uid="{4F555B2A-57D8-42D2-8B03-45CF3FB17E69}" name="Total spatial questions answered"/>
    <tableColumn id="14" xr3:uid="{F311BE83-2B0D-40E0-82E3-F8411497FC1D}" name="Total spatial correct answers"/>
    <tableColumn id="18" xr3:uid="{B0944C02-380A-4B22-9C03-703673283651}" name="Spatial percentage grade" dataDxfId="5">
      <calculatedColumnFormula>Table3[[#This Row],[Total spatial correct answers]]/Table3[[#This Row],[Total spatial questions answered]]</calculatedColumnFormula>
    </tableColumn>
    <tableColumn id="15" xr3:uid="{846DF1FC-05C7-4500-BD06-8031C87E2EF2}" name="Average spatial section reaction time [s]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F2636E-4BA8-408F-B08B-8B65831F80D8}" name="Table4" displayName="Table4" ref="A1:H3" totalsRowShown="0" headerRowDxfId="0">
  <autoFilter ref="A1:H3" xr:uid="{40F2636E-4BA8-408F-B08B-8B65831F80D8}"/>
  <tableColumns count="8">
    <tableColumn id="1" xr3:uid="{AE7D0A98-593A-4A9D-BBCA-7CFEEA515A59}" name="Group"/>
    <tableColumn id="2" xr3:uid="{FBA178BA-6881-44B1-A5A9-8BE6CDA34D7C}" name="Folicular phase count"/>
    <tableColumn id="3" xr3:uid="{9E011BB1-F31A-4E77-A4BB-22B3F8ED4E83}" name="Lutheal phase count"/>
    <tableColumn id="4" xr3:uid="{908D08F3-7054-4072-86BF-546E6EA2E244}" name="Irregular phase count"/>
    <tableColumn id="5" xr3:uid="{D22BF95F-20AD-40C1-A321-6AD1A6C4EDA3}" name="Global anonymous accumulated average"/>
    <tableColumn id="6" xr3:uid="{2F85C07A-006B-4399-A27D-D81989333980}" name="Average math performance" dataDxfId="3"/>
    <tableColumn id="7" xr3:uid="{49B79FA7-2B42-465B-9B8C-A80F253504C1}" name="Average programming performance" dataDxfId="2"/>
    <tableColumn id="8" xr3:uid="{BFD870C0-2336-447B-B06E-18AFAF02BC17}" name="Average spatial ability performa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6846-3E8B-4E5A-9170-E3C6ED523FA2}">
  <dimension ref="A1:S64"/>
  <sheetViews>
    <sheetView workbookViewId="0">
      <selection activeCell="A16" sqref="A16"/>
    </sheetView>
  </sheetViews>
  <sheetFormatPr defaultRowHeight="15" x14ac:dyDescent="0.25"/>
  <cols>
    <col min="1" max="1" width="8.5703125" bestFit="1" customWidth="1"/>
    <col min="2" max="2" width="13.42578125" bestFit="1" customWidth="1"/>
    <col min="3" max="3" width="10.5703125" bestFit="1" customWidth="1"/>
    <col min="4" max="4" width="11" bestFit="1" customWidth="1"/>
    <col min="5" max="6" width="27.28515625" bestFit="1" customWidth="1"/>
    <col min="7" max="7" width="25.5703125" bestFit="1" customWidth="1"/>
    <col min="8" max="9" width="19.140625" bestFit="1" customWidth="1"/>
    <col min="10" max="10" width="20.140625" bestFit="1" customWidth="1"/>
    <col min="11" max="11" width="23.140625" bestFit="1" customWidth="1"/>
    <col min="12" max="13" width="18.85546875" bestFit="1" customWidth="1"/>
    <col min="14" max="14" width="20.140625" customWidth="1"/>
    <col min="15" max="15" width="22.85546875" bestFit="1" customWidth="1"/>
    <col min="16" max="17" width="21.140625" bestFit="1" customWidth="1"/>
    <col min="18" max="18" width="20.140625" bestFit="1" customWidth="1"/>
    <col min="19" max="19" width="25.140625" bestFit="1" customWidth="1"/>
  </cols>
  <sheetData>
    <row r="1" spans="1:19" ht="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 t="s">
        <v>19</v>
      </c>
      <c r="B2" s="3" t="s">
        <v>20</v>
      </c>
      <c r="C2" s="3">
        <v>19</v>
      </c>
      <c r="D2" s="3" t="s">
        <v>21</v>
      </c>
      <c r="E2" s="2">
        <v>1</v>
      </c>
      <c r="F2" s="2">
        <v>3</v>
      </c>
      <c r="G2" s="2">
        <v>5</v>
      </c>
      <c r="H2" s="3">
        <v>103</v>
      </c>
      <c r="I2" s="3">
        <v>102</v>
      </c>
      <c r="J2" s="4">
        <f>Table3[[#This Row],[Total math correct answers]]/Table3[[#This Row],[Total math questions answered]]</f>
        <v>0.99029126213592233</v>
      </c>
      <c r="K2" s="5">
        <v>4.5167127257411899</v>
      </c>
      <c r="L2" s="2">
        <v>10</v>
      </c>
      <c r="M2" s="2">
        <v>7</v>
      </c>
      <c r="N2" s="6">
        <f>Table3[[#This Row],[Total code correct answers]]/Table3[[#This Row],[Total code questions answered]]</f>
        <v>0.7</v>
      </c>
      <c r="O2" s="7">
        <v>19.213473987579299</v>
      </c>
      <c r="P2" s="3">
        <v>19</v>
      </c>
      <c r="Q2" s="3">
        <v>13</v>
      </c>
      <c r="R2" s="4">
        <f>Table3[[#This Row],[Total spatial correct answers]]/Table3[[#This Row],[Total spatial questions answered]]</f>
        <v>0.68421052631578949</v>
      </c>
      <c r="S2" s="5">
        <v>13.839112871571499</v>
      </c>
    </row>
    <row r="3" spans="1:19" x14ac:dyDescent="0.25">
      <c r="A3" s="3" t="s">
        <v>22</v>
      </c>
      <c r="B3" s="3" t="s">
        <v>20</v>
      </c>
      <c r="C3" s="3">
        <v>19</v>
      </c>
      <c r="D3" s="3" t="s">
        <v>21</v>
      </c>
      <c r="E3" s="2">
        <v>3</v>
      </c>
      <c r="F3" s="2">
        <v>4</v>
      </c>
      <c r="G3" s="2">
        <v>4</v>
      </c>
      <c r="H3" s="3">
        <v>134</v>
      </c>
      <c r="I3" s="3">
        <v>129</v>
      </c>
      <c r="J3" s="4">
        <f>Table3[[#This Row],[Total math correct answers]]/Table3[[#This Row],[Total math questions answered]]</f>
        <v>0.96268656716417911</v>
      </c>
      <c r="K3" s="5">
        <v>3.4939906454798</v>
      </c>
      <c r="L3" s="2">
        <v>21</v>
      </c>
      <c r="M3" s="2">
        <v>12</v>
      </c>
      <c r="N3" s="6">
        <f>Table3[[#This Row],[Total code correct answers]]/Table3[[#This Row],[Total code questions answered]]</f>
        <v>0.5714285714285714</v>
      </c>
      <c r="O3" s="7">
        <v>8.2743697961171296</v>
      </c>
      <c r="P3" s="3">
        <v>19</v>
      </c>
      <c r="Q3" s="3">
        <v>9</v>
      </c>
      <c r="R3" s="4">
        <f>Table3[[#This Row],[Total spatial correct answers]]/Table3[[#This Row],[Total spatial questions answered]]</f>
        <v>0.47368421052631576</v>
      </c>
      <c r="S3" s="5">
        <v>10.328816689943</v>
      </c>
    </row>
    <row r="4" spans="1:19" x14ac:dyDescent="0.25">
      <c r="A4" s="3" t="s">
        <v>23</v>
      </c>
      <c r="B4" s="3" t="s">
        <v>20</v>
      </c>
      <c r="C4" s="3">
        <v>19</v>
      </c>
      <c r="D4" s="3" t="s">
        <v>24</v>
      </c>
      <c r="E4" s="2">
        <v>3</v>
      </c>
      <c r="F4" s="2">
        <v>4</v>
      </c>
      <c r="G4" s="2">
        <v>4</v>
      </c>
      <c r="H4" s="3">
        <v>65</v>
      </c>
      <c r="I4" s="3">
        <v>65</v>
      </c>
      <c r="J4" s="4">
        <f>Table3[[#This Row],[Total math correct answers]]/Table3[[#This Row],[Total math questions answered]]</f>
        <v>1</v>
      </c>
      <c r="K4" s="5">
        <v>7.0690160421224597</v>
      </c>
      <c r="L4" s="2">
        <v>13</v>
      </c>
      <c r="M4" s="2">
        <v>8</v>
      </c>
      <c r="N4" s="6">
        <f>Table3[[#This Row],[Total code correct answers]]/Table3[[#This Row],[Total code questions answered]]</f>
        <v>0.61538461538461542</v>
      </c>
      <c r="O4" s="7">
        <v>14.9319021151616</v>
      </c>
      <c r="P4" s="3">
        <v>19</v>
      </c>
      <c r="Q4" s="3">
        <v>11</v>
      </c>
      <c r="R4" s="4">
        <f>Table3[[#This Row],[Total spatial correct answers]]/Table3[[#This Row],[Total spatial questions answered]]</f>
        <v>0.57894736842105265</v>
      </c>
      <c r="S4" s="5">
        <v>16.5759559054123</v>
      </c>
    </row>
    <row r="5" spans="1:19" x14ac:dyDescent="0.25">
      <c r="A5" s="3" t="s">
        <v>25</v>
      </c>
      <c r="B5" s="3" t="s">
        <v>20</v>
      </c>
      <c r="C5" s="3">
        <v>20</v>
      </c>
      <c r="D5" s="3" t="s">
        <v>21</v>
      </c>
      <c r="E5" s="2">
        <v>5</v>
      </c>
      <c r="F5" s="2">
        <v>2</v>
      </c>
      <c r="G5" s="2">
        <v>5</v>
      </c>
      <c r="H5" s="3">
        <v>178</v>
      </c>
      <c r="I5" s="3">
        <v>175</v>
      </c>
      <c r="J5" s="4">
        <f>Table3[[#This Row],[Total math correct answers]]/Table3[[#This Row],[Total math questions answered]]</f>
        <v>0.9831460674157303</v>
      </c>
      <c r="K5" s="5">
        <v>2.6520184854443101</v>
      </c>
      <c r="L5" s="2">
        <v>17</v>
      </c>
      <c r="M5" s="2">
        <v>11</v>
      </c>
      <c r="N5" s="6">
        <f>Table3[[#This Row],[Total code correct answers]]/Table3[[#This Row],[Total code questions answered]]</f>
        <v>0.6470588235294118</v>
      </c>
      <c r="O5" s="7">
        <v>10.632671636693599</v>
      </c>
      <c r="P5" s="3">
        <v>19</v>
      </c>
      <c r="Q5" s="3">
        <v>17</v>
      </c>
      <c r="R5" s="4">
        <f>Table3[[#This Row],[Total spatial correct answers]]/Table3[[#This Row],[Total spatial questions answered]]</f>
        <v>0.89473684210526316</v>
      </c>
      <c r="S5" s="5">
        <v>15.330309039668</v>
      </c>
    </row>
    <row r="6" spans="1:19" x14ac:dyDescent="0.25">
      <c r="A6" s="3" t="s">
        <v>26</v>
      </c>
      <c r="B6" s="3" t="s">
        <v>20</v>
      </c>
      <c r="C6" s="3">
        <v>19</v>
      </c>
      <c r="D6" s="3" t="s">
        <v>21</v>
      </c>
      <c r="E6" s="2">
        <v>4</v>
      </c>
      <c r="F6" s="2">
        <v>5</v>
      </c>
      <c r="G6" s="2">
        <v>5</v>
      </c>
      <c r="H6" s="3">
        <v>106</v>
      </c>
      <c r="I6" s="3">
        <v>97</v>
      </c>
      <c r="J6" s="4">
        <f>Table3[[#This Row],[Total math correct answers]]/Table3[[#This Row],[Total math questions answered]]</f>
        <v>0.91509433962264153</v>
      </c>
      <c r="K6" s="5">
        <v>4.4267826935030303</v>
      </c>
      <c r="L6" s="2">
        <v>11</v>
      </c>
      <c r="M6" s="2">
        <v>7</v>
      </c>
      <c r="N6" s="6">
        <f>Table3[[#This Row],[Total code correct answers]]/Table3[[#This Row],[Total code questions answered]]</f>
        <v>0.63636363636363635</v>
      </c>
      <c r="O6" s="7">
        <v>15.981655077500699</v>
      </c>
      <c r="P6" s="3">
        <v>19</v>
      </c>
      <c r="Q6" s="3">
        <v>13</v>
      </c>
      <c r="R6" s="4">
        <f>Table3[[#This Row],[Total spatial correct answers]]/Table3[[#This Row],[Total spatial questions answered]]</f>
        <v>0.68421052631578949</v>
      </c>
      <c r="S6" s="5">
        <v>10.6881918279748</v>
      </c>
    </row>
    <row r="7" spans="1:19" x14ac:dyDescent="0.25">
      <c r="A7" s="3" t="s">
        <v>27</v>
      </c>
      <c r="B7" s="3" t="s">
        <v>20</v>
      </c>
      <c r="C7" s="3">
        <v>20</v>
      </c>
      <c r="D7" s="3" t="s">
        <v>21</v>
      </c>
      <c r="E7" s="2">
        <v>3</v>
      </c>
      <c r="F7" s="2">
        <v>3</v>
      </c>
      <c r="G7" s="2">
        <v>4</v>
      </c>
      <c r="H7" s="3">
        <v>205</v>
      </c>
      <c r="I7" s="3">
        <v>200</v>
      </c>
      <c r="J7" s="4">
        <f>Table3[[#This Row],[Total math correct answers]]/Table3[[#This Row],[Total math questions answered]]</f>
        <v>0.97560975609756095</v>
      </c>
      <c r="K7" s="5">
        <v>2.28982337199005</v>
      </c>
      <c r="L7" s="2">
        <v>15</v>
      </c>
      <c r="M7" s="2">
        <v>10</v>
      </c>
      <c r="N7" s="6">
        <f>Table3[[#This Row],[Total code correct answers]]/Table3[[#This Row],[Total code questions answered]]</f>
        <v>0.66666666666666663</v>
      </c>
      <c r="O7" s="7">
        <v>11.4552792867024</v>
      </c>
      <c r="P7" s="3">
        <v>19</v>
      </c>
      <c r="Q7" s="3">
        <v>16</v>
      </c>
      <c r="R7" s="4">
        <f>Table3[[#This Row],[Total spatial correct answers]]/Table3[[#This Row],[Total spatial questions answered]]</f>
        <v>0.84210526315789469</v>
      </c>
      <c r="S7" s="5">
        <v>13.1415798538609</v>
      </c>
    </row>
    <row r="8" spans="1:19" x14ac:dyDescent="0.25">
      <c r="A8" s="3" t="s">
        <v>28</v>
      </c>
      <c r="B8" s="3" t="s">
        <v>20</v>
      </c>
      <c r="C8" s="3">
        <v>20</v>
      </c>
      <c r="D8" s="3" t="s">
        <v>24</v>
      </c>
      <c r="E8" s="2">
        <v>4</v>
      </c>
      <c r="F8" s="2">
        <v>5</v>
      </c>
      <c r="G8" s="2">
        <v>5</v>
      </c>
      <c r="H8" s="3">
        <v>144</v>
      </c>
      <c r="I8" s="3">
        <v>130</v>
      </c>
      <c r="J8" s="4">
        <f>Table3[[#This Row],[Total math correct answers]]/Table3[[#This Row],[Total math questions answered]]</f>
        <v>0.90277777777777779</v>
      </c>
      <c r="K8" s="5">
        <v>3.2357465078433298</v>
      </c>
      <c r="L8" s="2">
        <v>12</v>
      </c>
      <c r="M8" s="2">
        <v>8</v>
      </c>
      <c r="N8" s="6">
        <f>Table3[[#This Row],[Total code correct answers]]/Table3[[#This Row],[Total code questions answered]]</f>
        <v>0.66666666666666663</v>
      </c>
      <c r="O8" s="7">
        <v>14.616262098153401</v>
      </c>
      <c r="P8" s="3">
        <v>19</v>
      </c>
      <c r="Q8" s="3">
        <v>17</v>
      </c>
      <c r="R8" s="4">
        <f>Table3[[#This Row],[Total spatial correct answers]]/Table3[[#This Row],[Total spatial questions answered]]</f>
        <v>0.89473684210526316</v>
      </c>
      <c r="S8" s="5">
        <v>13.645205296968101</v>
      </c>
    </row>
    <row r="9" spans="1:19" x14ac:dyDescent="0.25">
      <c r="A9" s="3" t="s">
        <v>29</v>
      </c>
      <c r="B9" s="3" t="s">
        <v>20</v>
      </c>
      <c r="C9" s="3">
        <v>19</v>
      </c>
      <c r="D9" s="3" t="s">
        <v>21</v>
      </c>
      <c r="E9" s="2">
        <v>5</v>
      </c>
      <c r="F9" s="2">
        <v>3</v>
      </c>
      <c r="G9" s="2">
        <v>4</v>
      </c>
      <c r="H9" s="3">
        <v>108</v>
      </c>
      <c r="I9" s="3">
        <v>98</v>
      </c>
      <c r="J9" s="4">
        <f>Table3[[#This Row],[Total math correct answers]]/Table3[[#This Row],[Total math questions answered]]</f>
        <v>0.90740740740740744</v>
      </c>
      <c r="K9" s="5">
        <v>4.2163822032787097</v>
      </c>
      <c r="L9" s="2">
        <v>14</v>
      </c>
      <c r="M9" s="2">
        <v>9</v>
      </c>
      <c r="N9" s="6">
        <f>Table3[[#This Row],[Total code correct answers]]/Table3[[#This Row],[Total code questions answered]]</f>
        <v>0.6428571428571429</v>
      </c>
      <c r="O9" s="7">
        <v>12.256345459393099</v>
      </c>
      <c r="P9" s="3">
        <v>19</v>
      </c>
      <c r="Q9" s="3">
        <v>12</v>
      </c>
      <c r="R9" s="4">
        <f>Table3[[#This Row],[Total spatial correct answers]]/Table3[[#This Row],[Total spatial questions answered]]</f>
        <v>0.63157894736842102</v>
      </c>
      <c r="S9" s="5">
        <v>20.570535044921101</v>
      </c>
    </row>
    <row r="10" spans="1:19" x14ac:dyDescent="0.25">
      <c r="A10" s="3" t="s">
        <v>30</v>
      </c>
      <c r="B10" s="3" t="s">
        <v>20</v>
      </c>
      <c r="C10" s="3">
        <v>19</v>
      </c>
      <c r="D10" s="3" t="s">
        <v>21</v>
      </c>
      <c r="E10" s="2">
        <v>2</v>
      </c>
      <c r="F10" s="2">
        <v>4</v>
      </c>
      <c r="G10" s="2">
        <v>4</v>
      </c>
      <c r="H10" s="3">
        <v>185</v>
      </c>
      <c r="I10" s="3">
        <v>175</v>
      </c>
      <c r="J10" s="4">
        <f>Table3[[#This Row],[Total math correct answers]]/Table3[[#This Row],[Total math questions answered]]</f>
        <v>0.94594594594594594</v>
      </c>
      <c r="K10" s="5">
        <v>2.5273070361163099</v>
      </c>
      <c r="L10" s="2">
        <v>15</v>
      </c>
      <c r="M10" s="2">
        <v>7</v>
      </c>
      <c r="N10" s="6">
        <f>Table3[[#This Row],[Total code correct answers]]/Table3[[#This Row],[Total code questions answered]]</f>
        <v>0.46666666666666667</v>
      </c>
      <c r="O10" s="7">
        <v>12.6104535579681</v>
      </c>
      <c r="P10" s="3">
        <v>19</v>
      </c>
      <c r="Q10" s="3">
        <v>16</v>
      </c>
      <c r="R10" s="4">
        <f>Table3[[#This Row],[Total spatial correct answers]]/Table3[[#This Row],[Total spatial questions answered]]</f>
        <v>0.84210526315789469</v>
      </c>
      <c r="S10" s="5">
        <v>15.6043614713768</v>
      </c>
    </row>
    <row r="11" spans="1:19" x14ac:dyDescent="0.25">
      <c r="A11" s="3" t="s">
        <v>31</v>
      </c>
      <c r="B11" s="3" t="s">
        <v>20</v>
      </c>
      <c r="C11" s="3">
        <v>19</v>
      </c>
      <c r="D11" s="3" t="s">
        <v>24</v>
      </c>
      <c r="E11" s="2">
        <v>3</v>
      </c>
      <c r="F11" s="2">
        <v>4</v>
      </c>
      <c r="G11" s="2">
        <v>4</v>
      </c>
      <c r="H11" s="3">
        <v>90</v>
      </c>
      <c r="I11" s="3">
        <v>78</v>
      </c>
      <c r="J11" s="4">
        <f>Table3[[#This Row],[Total math correct answers]]/Table3[[#This Row],[Total math questions answered]]</f>
        <v>0.8666666666666667</v>
      </c>
      <c r="K11" s="5">
        <v>5.1596466465429698</v>
      </c>
      <c r="L11" s="2">
        <v>12</v>
      </c>
      <c r="M11" s="2">
        <v>8</v>
      </c>
      <c r="N11" s="6">
        <f>Table3[[#This Row],[Total code correct answers]]/Table3[[#This Row],[Total code questions answered]]</f>
        <v>0.66666666666666663</v>
      </c>
      <c r="O11" s="7">
        <v>15.605246086915299</v>
      </c>
      <c r="P11" s="3">
        <v>19</v>
      </c>
      <c r="Q11" s="3">
        <v>11</v>
      </c>
      <c r="R11" s="4">
        <f>Table3[[#This Row],[Total spatial correct answers]]/Table3[[#This Row],[Total spatial questions answered]]</f>
        <v>0.57894736842105265</v>
      </c>
      <c r="S11" s="5">
        <v>11.8073486654381</v>
      </c>
    </row>
    <row r="12" spans="1:19" x14ac:dyDescent="0.25">
      <c r="A12" s="3" t="s">
        <v>32</v>
      </c>
      <c r="B12" s="3" t="s">
        <v>20</v>
      </c>
      <c r="C12" s="3">
        <v>19</v>
      </c>
      <c r="D12" s="3" t="s">
        <v>21</v>
      </c>
      <c r="E12" s="2">
        <v>4</v>
      </c>
      <c r="F12" s="2">
        <v>5</v>
      </c>
      <c r="G12" s="2">
        <v>5</v>
      </c>
      <c r="H12" s="3">
        <v>83</v>
      </c>
      <c r="I12" s="3">
        <v>83</v>
      </c>
      <c r="J12" s="4">
        <f>Table3[[#This Row],[Total math correct answers]]/Table3[[#This Row],[Total math questions answered]]</f>
        <v>1</v>
      </c>
      <c r="K12" s="5">
        <v>5.5427150525242403</v>
      </c>
      <c r="L12" s="2">
        <v>9</v>
      </c>
      <c r="M12" s="2">
        <v>4</v>
      </c>
      <c r="N12" s="6">
        <f>Table3[[#This Row],[Total code correct answers]]/Table3[[#This Row],[Total code questions answered]]</f>
        <v>0.44444444444444442</v>
      </c>
      <c r="O12" s="7">
        <v>22.491258700688601</v>
      </c>
      <c r="P12" s="3">
        <v>19</v>
      </c>
      <c r="Q12" s="3">
        <v>11</v>
      </c>
      <c r="R12" s="4">
        <f>Table3[[#This Row],[Total spatial correct answers]]/Table3[[#This Row],[Total spatial questions answered]]</f>
        <v>0.57894736842105265</v>
      </c>
      <c r="S12" s="5">
        <v>17.396043488853799</v>
      </c>
    </row>
    <row r="13" spans="1:19" x14ac:dyDescent="0.25">
      <c r="A13" s="3" t="s">
        <v>33</v>
      </c>
      <c r="B13" s="3" t="s">
        <v>20</v>
      </c>
      <c r="C13" s="3">
        <v>19</v>
      </c>
      <c r="D13" s="3" t="s">
        <v>21</v>
      </c>
      <c r="E13" s="2">
        <v>2</v>
      </c>
      <c r="F13" s="2">
        <v>4</v>
      </c>
      <c r="G13" s="2">
        <v>3</v>
      </c>
      <c r="H13" s="3">
        <v>120</v>
      </c>
      <c r="I13" s="3">
        <v>106</v>
      </c>
      <c r="J13" s="4">
        <f>Table3[[#This Row],[Total math correct answers]]/Table3[[#This Row],[Total math questions answered]]</f>
        <v>0.8833333333333333</v>
      </c>
      <c r="K13" s="5">
        <v>3.78994187387097</v>
      </c>
      <c r="L13" s="2">
        <v>12</v>
      </c>
      <c r="M13" s="2">
        <v>6</v>
      </c>
      <c r="N13" s="6">
        <f>Table3[[#This Row],[Total code correct answers]]/Table3[[#This Row],[Total code questions answered]]</f>
        <v>0.5</v>
      </c>
      <c r="O13" s="7">
        <v>13.6979406873385</v>
      </c>
      <c r="P13" s="3">
        <v>20</v>
      </c>
      <c r="Q13" s="3">
        <v>10</v>
      </c>
      <c r="R13" s="4">
        <f>Table3[[#This Row],[Total spatial correct answers]]/Table3[[#This Row],[Total spatial questions answered]]</f>
        <v>0.5</v>
      </c>
      <c r="S13" s="5">
        <v>12.293075299262901</v>
      </c>
    </row>
    <row r="14" spans="1:19" x14ac:dyDescent="0.25">
      <c r="A14" s="3" t="s">
        <v>34</v>
      </c>
      <c r="B14" s="3" t="s">
        <v>20</v>
      </c>
      <c r="C14" s="3">
        <v>19</v>
      </c>
      <c r="D14" s="3" t="s">
        <v>24</v>
      </c>
      <c r="E14" s="2">
        <v>4</v>
      </c>
      <c r="F14" s="2">
        <v>4</v>
      </c>
      <c r="G14" s="2">
        <v>2</v>
      </c>
      <c r="H14" s="3">
        <v>79</v>
      </c>
      <c r="I14" s="3">
        <v>74</v>
      </c>
      <c r="J14" s="4">
        <f>Table3[[#This Row],[Total math correct answers]]/Table3[[#This Row],[Total math questions answered]]</f>
        <v>0.93670886075949367</v>
      </c>
      <c r="K14" s="5">
        <v>5.8064644457418702</v>
      </c>
      <c r="L14" s="2">
        <v>10</v>
      </c>
      <c r="M14" s="2">
        <v>5</v>
      </c>
      <c r="N14" s="6">
        <f>Table3[[#This Row],[Total code correct answers]]/Table3[[#This Row],[Total code questions answered]]</f>
        <v>0.5</v>
      </c>
      <c r="O14" s="7">
        <v>17.575028395652801</v>
      </c>
      <c r="P14" s="3">
        <v>19</v>
      </c>
      <c r="Q14" s="3">
        <v>12</v>
      </c>
      <c r="R14" s="4">
        <f>Table3[[#This Row],[Total spatial correct answers]]/Table3[[#This Row],[Total spatial questions answered]]</f>
        <v>0.63157894736842102</v>
      </c>
      <c r="S14" s="5">
        <v>10.389089170255099</v>
      </c>
    </row>
    <row r="15" spans="1:19" x14ac:dyDescent="0.25">
      <c r="A15" s="3" t="s">
        <v>35</v>
      </c>
      <c r="B15" s="3" t="s">
        <v>20</v>
      </c>
      <c r="C15" s="3">
        <v>19</v>
      </c>
      <c r="D15" s="3" t="s">
        <v>24</v>
      </c>
      <c r="E15" s="2">
        <v>3</v>
      </c>
      <c r="F15" s="2">
        <v>4</v>
      </c>
      <c r="G15" s="2">
        <v>4</v>
      </c>
      <c r="H15" s="3">
        <v>92</v>
      </c>
      <c r="I15" s="3">
        <v>83</v>
      </c>
      <c r="J15" s="4">
        <f>Table3[[#This Row],[Total math correct answers]]/Table3[[#This Row],[Total math questions answered]]</f>
        <v>0.90217391304347827</v>
      </c>
      <c r="K15" s="5">
        <v>4.9841029281201497</v>
      </c>
      <c r="L15" s="2">
        <v>10</v>
      </c>
      <c r="M15" s="2">
        <v>8</v>
      </c>
      <c r="N15" s="6">
        <f>Table3[[#This Row],[Total code correct answers]]/Table3[[#This Row],[Total code questions answered]]</f>
        <v>0.8</v>
      </c>
      <c r="O15" s="7">
        <v>17.526659202575601</v>
      </c>
      <c r="P15" s="3">
        <v>19</v>
      </c>
      <c r="Q15" s="3">
        <v>13</v>
      </c>
      <c r="R15" s="4">
        <f>Table3[[#This Row],[Total spatial correct answers]]/Table3[[#This Row],[Total spatial questions answered]]</f>
        <v>0.68421052631578949</v>
      </c>
      <c r="S15" s="5">
        <v>15.330837525819399</v>
      </c>
    </row>
    <row r="16" spans="1:19" x14ac:dyDescent="0.25">
      <c r="A16" s="3" t="s">
        <v>36</v>
      </c>
      <c r="B16" s="3" t="s">
        <v>20</v>
      </c>
      <c r="C16" s="3">
        <v>19</v>
      </c>
      <c r="D16" s="3" t="s">
        <v>24</v>
      </c>
      <c r="E16" s="2">
        <v>5</v>
      </c>
      <c r="F16" s="2">
        <v>4</v>
      </c>
      <c r="G16" s="2">
        <v>5</v>
      </c>
      <c r="H16" s="3">
        <v>125</v>
      </c>
      <c r="I16" s="3">
        <v>118</v>
      </c>
      <c r="J16" s="4">
        <f>Table3[[#This Row],[Total math correct answers]]/Table3[[#This Row],[Total math questions answered]]</f>
        <v>0.94399999999999995</v>
      </c>
      <c r="K16" s="5">
        <v>3.7106646929329998</v>
      </c>
      <c r="L16" s="2">
        <v>11</v>
      </c>
      <c r="M16" s="2">
        <v>3</v>
      </c>
      <c r="N16" s="6">
        <f>Table3[[#This Row],[Total code correct answers]]/Table3[[#This Row],[Total code questions answered]]</f>
        <v>0.27272727272727271</v>
      </c>
      <c r="O16" s="7">
        <v>16.052748463370602</v>
      </c>
      <c r="P16" s="3">
        <v>19</v>
      </c>
      <c r="Q16" s="3">
        <v>9</v>
      </c>
      <c r="R16" s="4">
        <f>Table3[[#This Row],[Total spatial correct answers]]/Table3[[#This Row],[Total spatial questions answered]]</f>
        <v>0.47368421052631576</v>
      </c>
      <c r="S16" s="5">
        <v>19.306591360192598</v>
      </c>
    </row>
    <row r="17" spans="1:19" x14ac:dyDescent="0.25">
      <c r="A17" s="3" t="s">
        <v>37</v>
      </c>
      <c r="B17" s="3" t="s">
        <v>20</v>
      </c>
      <c r="C17" s="3">
        <v>21</v>
      </c>
      <c r="D17" s="3" t="s">
        <v>21</v>
      </c>
      <c r="E17" s="2">
        <v>3</v>
      </c>
      <c r="F17" s="2">
        <v>3</v>
      </c>
      <c r="G17" s="2">
        <v>4</v>
      </c>
      <c r="H17" s="3">
        <v>161</v>
      </c>
      <c r="I17" s="3">
        <v>158</v>
      </c>
      <c r="J17" s="4">
        <f>Table3[[#This Row],[Total math correct answers]]/Table3[[#This Row],[Total math questions answered]]</f>
        <v>0.98136645962732916</v>
      </c>
      <c r="K17" s="5">
        <v>2.8781234670129598</v>
      </c>
      <c r="L17" s="2">
        <v>13</v>
      </c>
      <c r="M17" s="2">
        <v>7</v>
      </c>
      <c r="N17" s="6">
        <f>Table3[[#This Row],[Total code correct answers]]/Table3[[#This Row],[Total code questions answered]]</f>
        <v>0.53846153846153844</v>
      </c>
      <c r="O17" s="7">
        <v>13.5589192280402</v>
      </c>
      <c r="P17" s="3">
        <v>19</v>
      </c>
      <c r="Q17" s="3">
        <v>12</v>
      </c>
      <c r="R17" s="4">
        <f>Table3[[#This Row],[Total spatial correct answers]]/Table3[[#This Row],[Total spatial questions answered]]</f>
        <v>0.63157894736842102</v>
      </c>
      <c r="S17" s="5">
        <v>14.136855577167699</v>
      </c>
    </row>
    <row r="18" spans="1:19" x14ac:dyDescent="0.25">
      <c r="A18" s="3" t="s">
        <v>38</v>
      </c>
      <c r="B18" s="3" t="s">
        <v>20</v>
      </c>
      <c r="C18" s="3">
        <v>19</v>
      </c>
      <c r="D18" s="3" t="s">
        <v>21</v>
      </c>
      <c r="E18" s="2">
        <v>1</v>
      </c>
      <c r="F18" s="2">
        <v>3</v>
      </c>
      <c r="G18" s="2">
        <v>4</v>
      </c>
      <c r="H18" s="3">
        <v>89</v>
      </c>
      <c r="I18" s="3">
        <v>84</v>
      </c>
      <c r="J18" s="4">
        <f>Table3[[#This Row],[Total math correct answers]]/Table3[[#This Row],[Total math questions answered]]</f>
        <v>0.9438202247191011</v>
      </c>
      <c r="K18" s="5">
        <v>5.2380913134371303</v>
      </c>
      <c r="L18" s="2">
        <v>18</v>
      </c>
      <c r="M18" s="2">
        <v>10</v>
      </c>
      <c r="N18" s="6">
        <f>Table3[[#This Row],[Total code correct answers]]/Table3[[#This Row],[Total code questions answered]]</f>
        <v>0.55555555555555558</v>
      </c>
      <c r="O18" s="7">
        <v>9.6117261118359103</v>
      </c>
      <c r="P18" s="3">
        <v>19</v>
      </c>
      <c r="Q18" s="3">
        <v>10</v>
      </c>
      <c r="R18" s="4">
        <f>Table3[[#This Row],[Total spatial correct answers]]/Table3[[#This Row],[Total spatial questions answered]]</f>
        <v>0.52631578947368418</v>
      </c>
      <c r="S18" s="5">
        <v>9.6948101395054493</v>
      </c>
    </row>
    <row r="19" spans="1:19" x14ac:dyDescent="0.25">
      <c r="A19" s="3" t="s">
        <v>39</v>
      </c>
      <c r="B19" s="3" t="s">
        <v>20</v>
      </c>
      <c r="C19" s="3">
        <v>20</v>
      </c>
      <c r="D19" s="3" t="s">
        <v>24</v>
      </c>
      <c r="E19" s="2">
        <v>3</v>
      </c>
      <c r="F19" s="2">
        <v>4</v>
      </c>
      <c r="G19" s="2">
        <v>4</v>
      </c>
      <c r="H19" s="3">
        <v>135</v>
      </c>
      <c r="I19" s="3">
        <v>133</v>
      </c>
      <c r="J19" s="4">
        <f>Table3[[#This Row],[Total math correct answers]]/Table3[[#This Row],[Total math questions answered]]</f>
        <v>0.98518518518518516</v>
      </c>
      <c r="K19" s="5">
        <v>3.4663131113405599</v>
      </c>
      <c r="L19" s="2">
        <v>13</v>
      </c>
      <c r="M19" s="2">
        <v>7</v>
      </c>
      <c r="N19" s="6">
        <f>Table3[[#This Row],[Total code correct answers]]/Table3[[#This Row],[Total code questions answered]]</f>
        <v>0.53846153846153844</v>
      </c>
      <c r="O19" s="7">
        <v>15.1444524801694</v>
      </c>
      <c r="P19" s="3">
        <v>19</v>
      </c>
      <c r="Q19" s="3">
        <v>11</v>
      </c>
      <c r="R19" s="4">
        <f>Table3[[#This Row],[Total spatial correct answers]]/Table3[[#This Row],[Total spatial questions answered]]</f>
        <v>0.57894736842105265</v>
      </c>
      <c r="S19" s="5">
        <v>26.441214486172299</v>
      </c>
    </row>
    <row r="20" spans="1:19" x14ac:dyDescent="0.25">
      <c r="A20" s="3" t="s">
        <v>40</v>
      </c>
      <c r="B20" s="3" t="s">
        <v>20</v>
      </c>
      <c r="C20" s="3">
        <v>19</v>
      </c>
      <c r="D20" s="3" t="s">
        <v>24</v>
      </c>
      <c r="E20" s="2">
        <v>4</v>
      </c>
      <c r="F20" s="2">
        <v>4</v>
      </c>
      <c r="G20" s="2">
        <v>4</v>
      </c>
      <c r="H20" s="3">
        <v>41</v>
      </c>
      <c r="I20" s="3">
        <v>37</v>
      </c>
      <c r="J20" s="4">
        <f>Table3[[#This Row],[Total math correct answers]]/Table3[[#This Row],[Total math questions answered]]</f>
        <v>0.90243902439024393</v>
      </c>
      <c r="K20" s="5">
        <v>9.77095935984355</v>
      </c>
      <c r="L20" s="2">
        <v>10</v>
      </c>
      <c r="M20" s="2">
        <v>4</v>
      </c>
      <c r="N20" s="6">
        <f>Table3[[#This Row],[Total code correct answers]]/Table3[[#This Row],[Total code questions answered]]</f>
        <v>0.4</v>
      </c>
      <c r="O20" s="7">
        <v>19.333309459686198</v>
      </c>
      <c r="P20" s="3">
        <v>19</v>
      </c>
      <c r="Q20" s="3">
        <v>11</v>
      </c>
      <c r="R20" s="4">
        <f>Table3[[#This Row],[Total spatial correct answers]]/Table3[[#This Row],[Total spatial questions answered]]</f>
        <v>0.57894736842105265</v>
      </c>
      <c r="S20" s="5">
        <v>14.5089937887694</v>
      </c>
    </row>
    <row r="21" spans="1:19" x14ac:dyDescent="0.25">
      <c r="A21" s="3" t="s">
        <v>41</v>
      </c>
      <c r="B21" s="3" t="s">
        <v>20</v>
      </c>
      <c r="C21" s="3">
        <v>19</v>
      </c>
      <c r="D21" s="3" t="s">
        <v>24</v>
      </c>
      <c r="E21" s="2">
        <v>3</v>
      </c>
      <c r="F21" s="2">
        <v>3</v>
      </c>
      <c r="G21" s="2">
        <v>2</v>
      </c>
      <c r="H21" s="3">
        <v>106</v>
      </c>
      <c r="I21" s="3">
        <v>102</v>
      </c>
      <c r="J21" s="4">
        <f>Table3[[#This Row],[Total math correct answers]]/Table3[[#This Row],[Total math questions answered]]</f>
        <v>0.96226415094339623</v>
      </c>
      <c r="K21" s="5">
        <v>4.3068198325499001</v>
      </c>
      <c r="L21" s="2">
        <v>10</v>
      </c>
      <c r="M21" s="2">
        <v>7</v>
      </c>
      <c r="N21" s="6">
        <f>Table3[[#This Row],[Total code correct answers]]/Table3[[#This Row],[Total code questions answered]]</f>
        <v>0.7</v>
      </c>
      <c r="O21" s="7">
        <v>18.272953295707602</v>
      </c>
      <c r="P21" s="3">
        <v>19</v>
      </c>
      <c r="Q21" s="3">
        <v>15</v>
      </c>
      <c r="R21" s="4">
        <f>Table3[[#This Row],[Total spatial correct answers]]/Table3[[#This Row],[Total spatial questions answered]]</f>
        <v>0.78947368421052633</v>
      </c>
      <c r="S21" s="5">
        <v>17.580616875698698</v>
      </c>
    </row>
    <row r="22" spans="1:19" x14ac:dyDescent="0.25">
      <c r="A22" s="3" t="s">
        <v>42</v>
      </c>
      <c r="B22" s="3" t="s">
        <v>20</v>
      </c>
      <c r="C22" s="3">
        <v>20</v>
      </c>
      <c r="D22" s="3" t="s">
        <v>24</v>
      </c>
      <c r="E22" s="2">
        <v>2</v>
      </c>
      <c r="F22" s="2">
        <v>3</v>
      </c>
      <c r="G22" s="2">
        <v>4</v>
      </c>
      <c r="H22" s="3">
        <v>109</v>
      </c>
      <c r="I22" s="3">
        <v>98</v>
      </c>
      <c r="J22" s="4">
        <f>Table3[[#This Row],[Total math correct answers]]/Table3[[#This Row],[Total math questions answered]]</f>
        <v>0.8990825688073395</v>
      </c>
      <c r="K22" s="5">
        <v>4.2555323784504404</v>
      </c>
      <c r="L22" s="2">
        <v>11</v>
      </c>
      <c r="M22" s="2">
        <v>9</v>
      </c>
      <c r="N22" s="6">
        <f>Table3[[#This Row],[Total code correct answers]]/Table3[[#This Row],[Total code questions answered]]</f>
        <v>0.81818181818181823</v>
      </c>
      <c r="O22" s="7">
        <v>16.524942072955</v>
      </c>
      <c r="P22" s="3">
        <v>19</v>
      </c>
      <c r="Q22" s="3">
        <v>11</v>
      </c>
      <c r="R22" s="4">
        <f>Table3[[#This Row],[Total spatial correct answers]]/Table3[[#This Row],[Total spatial questions answered]]</f>
        <v>0.57894736842105265</v>
      </c>
      <c r="S22" s="5">
        <v>21.303275208724099</v>
      </c>
    </row>
    <row r="23" spans="1:19" x14ac:dyDescent="0.25">
      <c r="A23" s="3" t="s">
        <v>43</v>
      </c>
      <c r="B23" s="3" t="s">
        <v>20</v>
      </c>
      <c r="C23" s="3">
        <v>20</v>
      </c>
      <c r="D23" s="3" t="s">
        <v>24</v>
      </c>
      <c r="E23" s="2">
        <v>1</v>
      </c>
      <c r="F23" s="2">
        <v>3</v>
      </c>
      <c r="G23" s="2">
        <v>4</v>
      </c>
      <c r="H23" s="3">
        <v>68</v>
      </c>
      <c r="I23" s="3">
        <v>64</v>
      </c>
      <c r="J23" s="4">
        <f>Table3[[#This Row],[Total math correct answers]]/Table3[[#This Row],[Total math questions answered]]</f>
        <v>0.94117647058823528</v>
      </c>
      <c r="K23" s="5">
        <v>6.6540406461971902</v>
      </c>
      <c r="L23" s="2">
        <v>7</v>
      </c>
      <c r="M23" s="2">
        <v>4</v>
      </c>
      <c r="N23" s="6">
        <f>Table3[[#This Row],[Total code correct answers]]/Table3[[#This Row],[Total code questions answered]]</f>
        <v>0.5714285714285714</v>
      </c>
      <c r="O23" s="7">
        <v>27.8404939174651</v>
      </c>
      <c r="P23" s="3">
        <v>19</v>
      </c>
      <c r="Q23" s="3">
        <v>8</v>
      </c>
      <c r="R23" s="4">
        <f>Table3[[#This Row],[Total spatial correct answers]]/Table3[[#This Row],[Total spatial questions answered]]</f>
        <v>0.42105263157894735</v>
      </c>
      <c r="S23" s="5">
        <v>13.396806378113601</v>
      </c>
    </row>
    <row r="24" spans="1:19" x14ac:dyDescent="0.25">
      <c r="A24" s="3" t="s">
        <v>44</v>
      </c>
      <c r="B24" s="3" t="s">
        <v>20</v>
      </c>
      <c r="C24" s="3">
        <v>20</v>
      </c>
      <c r="D24" s="3" t="s">
        <v>21</v>
      </c>
      <c r="E24" s="2">
        <v>3</v>
      </c>
      <c r="F24" s="2">
        <v>4</v>
      </c>
      <c r="G24" s="2">
        <v>2</v>
      </c>
      <c r="H24" s="3">
        <v>131</v>
      </c>
      <c r="I24" s="3">
        <v>125</v>
      </c>
      <c r="J24" s="4">
        <f>Table3[[#This Row],[Total math correct answers]]/Table3[[#This Row],[Total math questions answered]]</f>
        <v>0.95419847328244278</v>
      </c>
      <c r="K24" s="5">
        <v>3.5545721399875001</v>
      </c>
      <c r="L24" s="2">
        <v>19</v>
      </c>
      <c r="M24" s="2">
        <v>17</v>
      </c>
      <c r="N24" s="6">
        <f>Table3[[#This Row],[Total code correct answers]]/Table3[[#This Row],[Total code questions answered]]</f>
        <v>0.89473684210526316</v>
      </c>
      <c r="O24" s="7">
        <v>9.2615881593603593</v>
      </c>
      <c r="P24" s="3">
        <v>19</v>
      </c>
      <c r="Q24" s="3">
        <v>17</v>
      </c>
      <c r="R24" s="4">
        <f>Table3[[#This Row],[Total spatial correct answers]]/Table3[[#This Row],[Total spatial questions answered]]</f>
        <v>0.89473684210526316</v>
      </c>
      <c r="S24" s="5">
        <v>8.0435685985966305</v>
      </c>
    </row>
    <row r="25" spans="1:19" x14ac:dyDescent="0.25">
      <c r="A25" s="9" t="s">
        <v>45</v>
      </c>
      <c r="B25" s="9" t="s">
        <v>46</v>
      </c>
      <c r="C25" s="9">
        <v>20</v>
      </c>
      <c r="D25" s="9" t="s">
        <v>24</v>
      </c>
      <c r="E25" s="8">
        <v>3</v>
      </c>
      <c r="F25" s="8">
        <v>4</v>
      </c>
      <c r="G25" s="8">
        <v>4</v>
      </c>
      <c r="H25" s="9">
        <v>84</v>
      </c>
      <c r="I25" s="9">
        <v>76</v>
      </c>
      <c r="J25" s="10">
        <f>Table3[[#This Row],[Total math correct answers]]/Table3[[#This Row],[Total math questions answered]]</f>
        <v>0.90476190476190477</v>
      </c>
      <c r="K25" s="11">
        <v>5.4582672374588999</v>
      </c>
      <c r="L25" s="8">
        <v>14</v>
      </c>
      <c r="M25" s="8">
        <v>10</v>
      </c>
      <c r="N25" s="12">
        <f>Table3[[#This Row],[Total code correct answers]]/Table3[[#This Row],[Total code questions answered]]</f>
        <v>0.7142857142857143</v>
      </c>
      <c r="O25" s="13">
        <v>12.5584121601922</v>
      </c>
      <c r="P25" s="9">
        <v>20</v>
      </c>
      <c r="Q25" s="9">
        <v>8</v>
      </c>
      <c r="R25" s="10">
        <f>Table3[[#This Row],[Total spatial correct answers]]/Table3[[#This Row],[Total spatial questions answered]]</f>
        <v>0.4</v>
      </c>
      <c r="S25" s="11">
        <v>12.016017830371799</v>
      </c>
    </row>
    <row r="26" spans="1:19" x14ac:dyDescent="0.25">
      <c r="A26" s="9" t="s">
        <v>47</v>
      </c>
      <c r="B26" s="9" t="s">
        <v>46</v>
      </c>
      <c r="C26" s="9">
        <v>20</v>
      </c>
      <c r="D26" s="9" t="s">
        <v>24</v>
      </c>
      <c r="E26" s="8">
        <v>3</v>
      </c>
      <c r="F26" s="8">
        <v>4</v>
      </c>
      <c r="G26" s="8">
        <v>4</v>
      </c>
      <c r="H26" s="9">
        <v>85</v>
      </c>
      <c r="I26" s="9">
        <v>78</v>
      </c>
      <c r="J26" s="10">
        <f>Table3[[#This Row],[Total math correct answers]]/Table3[[#This Row],[Total math questions answered]]</f>
        <v>0.91764705882352937</v>
      </c>
      <c r="K26" s="11">
        <v>5.4011197903576997</v>
      </c>
      <c r="L26" s="8">
        <v>14</v>
      </c>
      <c r="M26" s="8">
        <v>7</v>
      </c>
      <c r="N26" s="12">
        <f>Table3[[#This Row],[Total code correct answers]]/Table3[[#This Row],[Total code questions answered]]</f>
        <v>0.5</v>
      </c>
      <c r="O26" s="13">
        <v>14.187527009419</v>
      </c>
      <c r="P26" s="9">
        <v>19</v>
      </c>
      <c r="Q26" s="9">
        <v>7</v>
      </c>
      <c r="R26" s="10">
        <f>Table3[[#This Row],[Total spatial correct answers]]/Table3[[#This Row],[Total spatial questions answered]]</f>
        <v>0.36842105263157893</v>
      </c>
      <c r="S26" s="11">
        <v>13.0682736446982</v>
      </c>
    </row>
    <row r="27" spans="1:19" x14ac:dyDescent="0.25">
      <c r="A27" s="9" t="s">
        <v>48</v>
      </c>
      <c r="B27" s="9" t="s">
        <v>46</v>
      </c>
      <c r="C27" s="9">
        <v>20</v>
      </c>
      <c r="D27" s="9" t="s">
        <v>24</v>
      </c>
      <c r="E27" s="8">
        <v>3</v>
      </c>
      <c r="F27" s="8">
        <v>5</v>
      </c>
      <c r="G27" s="8">
        <v>5</v>
      </c>
      <c r="H27" s="9">
        <v>145</v>
      </c>
      <c r="I27" s="9">
        <v>132</v>
      </c>
      <c r="J27" s="10">
        <f>Table3[[#This Row],[Total math correct answers]]/Table3[[#This Row],[Total math questions answered]]</f>
        <v>0.91034482758620694</v>
      </c>
      <c r="K27" s="11">
        <v>3.2139825755152098</v>
      </c>
      <c r="L27" s="8">
        <v>15</v>
      </c>
      <c r="M27" s="8">
        <v>10</v>
      </c>
      <c r="N27" s="12">
        <f>Table3[[#This Row],[Total code correct answers]]/Table3[[#This Row],[Total code questions answered]]</f>
        <v>0.66666666666666663</v>
      </c>
      <c r="O27" s="13">
        <v>11.896336857477801</v>
      </c>
      <c r="P27" s="9">
        <v>19</v>
      </c>
      <c r="Q27" s="9">
        <v>8</v>
      </c>
      <c r="R27" s="10">
        <f>Table3[[#This Row],[Total spatial correct answers]]/Table3[[#This Row],[Total spatial questions answered]]</f>
        <v>0.42105263157894735</v>
      </c>
      <c r="S27" s="11">
        <v>12.4364719139902</v>
      </c>
    </row>
    <row r="28" spans="1:19" x14ac:dyDescent="0.25">
      <c r="A28" s="9" t="s">
        <v>49</v>
      </c>
      <c r="B28" s="9" t="s">
        <v>46</v>
      </c>
      <c r="C28" s="9">
        <v>20</v>
      </c>
      <c r="D28" s="9" t="s">
        <v>21</v>
      </c>
      <c r="E28" s="8">
        <v>3</v>
      </c>
      <c r="F28" s="8">
        <v>4</v>
      </c>
      <c r="G28" s="8">
        <v>4</v>
      </c>
      <c r="H28" s="9">
        <v>150</v>
      </c>
      <c r="I28" s="9">
        <v>139</v>
      </c>
      <c r="J28" s="10">
        <f>Table3[[#This Row],[Total math correct answers]]/Table3[[#This Row],[Total math questions answered]]</f>
        <v>0.92666666666666664</v>
      </c>
      <c r="K28" s="11">
        <v>3.11481905619303</v>
      </c>
      <c r="L28" s="8">
        <v>16</v>
      </c>
      <c r="M28" s="8">
        <v>10</v>
      </c>
      <c r="N28" s="12">
        <f>Table3[[#This Row],[Total code correct answers]]/Table3[[#This Row],[Total code questions answered]]</f>
        <v>0.625</v>
      </c>
      <c r="O28" s="13">
        <v>9.7723069339990705</v>
      </c>
      <c r="P28" s="9">
        <v>19</v>
      </c>
      <c r="Q28" s="9">
        <v>9</v>
      </c>
      <c r="R28" s="10">
        <f>Table3[[#This Row],[Total spatial correct answers]]/Table3[[#This Row],[Total spatial questions answered]]</f>
        <v>0.47368421052631576</v>
      </c>
      <c r="S28" s="11">
        <v>11.0310482100436</v>
      </c>
    </row>
    <row r="29" spans="1:19" x14ac:dyDescent="0.25">
      <c r="A29" s="9" t="s">
        <v>50</v>
      </c>
      <c r="B29" s="9" t="s">
        <v>46</v>
      </c>
      <c r="C29" s="9">
        <v>21</v>
      </c>
      <c r="D29" s="9" t="s">
        <v>21</v>
      </c>
      <c r="E29" s="8">
        <v>3</v>
      </c>
      <c r="F29" s="8">
        <v>5</v>
      </c>
      <c r="G29" s="8">
        <v>4</v>
      </c>
      <c r="H29" s="9">
        <v>79</v>
      </c>
      <c r="I29" s="9">
        <v>76</v>
      </c>
      <c r="J29" s="10">
        <f>Table3[[#This Row],[Total math correct answers]]/Table3[[#This Row],[Total math questions answered]]</f>
        <v>0.96202531645569622</v>
      </c>
      <c r="K29" s="11">
        <v>5.9578803822964002</v>
      </c>
      <c r="L29" s="8">
        <v>11</v>
      </c>
      <c r="M29" s="8">
        <v>7</v>
      </c>
      <c r="N29" s="12">
        <f>Table3[[#This Row],[Total code correct answers]]/Table3[[#This Row],[Total code questions answered]]</f>
        <v>0.63636363636363635</v>
      </c>
      <c r="O29" s="13">
        <v>16.358842698010498</v>
      </c>
      <c r="P29" s="9">
        <v>19</v>
      </c>
      <c r="Q29" s="9">
        <v>17</v>
      </c>
      <c r="R29" s="10">
        <f>Table3[[#This Row],[Total spatial correct answers]]/Table3[[#This Row],[Total spatial questions answered]]</f>
        <v>0.89473684210526316</v>
      </c>
      <c r="S29" s="11">
        <v>15.309397559416899</v>
      </c>
    </row>
    <row r="30" spans="1:19" x14ac:dyDescent="0.25">
      <c r="A30" s="9" t="s">
        <v>51</v>
      </c>
      <c r="B30" s="9" t="s">
        <v>46</v>
      </c>
      <c r="C30" s="9">
        <v>19</v>
      </c>
      <c r="D30" s="9" t="s">
        <v>21</v>
      </c>
      <c r="E30" s="8">
        <v>4</v>
      </c>
      <c r="F30" s="8">
        <v>3</v>
      </c>
      <c r="G30" s="8">
        <v>4</v>
      </c>
      <c r="H30" s="9">
        <v>267</v>
      </c>
      <c r="I30" s="9">
        <v>263</v>
      </c>
      <c r="J30" s="10">
        <f>Table3[[#This Row],[Total math correct answers]]/Table3[[#This Row],[Total math questions answered]]</f>
        <v>0.98501872659176026</v>
      </c>
      <c r="K30" s="11">
        <v>1.7663249612301</v>
      </c>
      <c r="L30" s="8">
        <v>12</v>
      </c>
      <c r="M30" s="8">
        <v>6</v>
      </c>
      <c r="N30" s="12">
        <f>Table3[[#This Row],[Total code correct answers]]/Table3[[#This Row],[Total code questions answered]]</f>
        <v>0.5</v>
      </c>
      <c r="O30" s="13">
        <v>16.293674588203402</v>
      </c>
      <c r="P30" s="9">
        <v>19</v>
      </c>
      <c r="Q30" s="9">
        <v>10</v>
      </c>
      <c r="R30" s="10">
        <f>Table3[[#This Row],[Total spatial correct answers]]/Table3[[#This Row],[Total spatial questions answered]]</f>
        <v>0.52631578947368418</v>
      </c>
      <c r="S30" s="11">
        <v>10.9052042459187</v>
      </c>
    </row>
    <row r="31" spans="1:19" x14ac:dyDescent="0.25">
      <c r="A31" s="9" t="s">
        <v>52</v>
      </c>
      <c r="B31" s="9" t="s">
        <v>46</v>
      </c>
      <c r="C31" s="9">
        <v>18</v>
      </c>
      <c r="D31" s="9" t="s">
        <v>24</v>
      </c>
      <c r="E31" s="8">
        <v>5</v>
      </c>
      <c r="F31" s="8">
        <v>4</v>
      </c>
      <c r="G31" s="8">
        <v>4</v>
      </c>
      <c r="H31" s="9">
        <v>205</v>
      </c>
      <c r="I31" s="9">
        <v>195</v>
      </c>
      <c r="J31" s="10">
        <f>Table3[[#This Row],[Total math correct answers]]/Table3[[#This Row],[Total math questions answered]]</f>
        <v>0.95121951219512191</v>
      </c>
      <c r="K31" s="11">
        <v>2.29772779999709</v>
      </c>
      <c r="L31" s="8">
        <v>18</v>
      </c>
      <c r="M31" s="8">
        <v>9</v>
      </c>
      <c r="N31" s="12">
        <f>Table3[[#This Row],[Total code correct answers]]/Table3[[#This Row],[Total code questions answered]]</f>
        <v>0.5</v>
      </c>
      <c r="O31" s="13">
        <v>8.9153848621580298</v>
      </c>
      <c r="P31" s="9">
        <v>19</v>
      </c>
      <c r="Q31" s="9">
        <v>7</v>
      </c>
      <c r="R31" s="10">
        <f>Table3[[#This Row],[Total spatial correct answers]]/Table3[[#This Row],[Total spatial questions answered]]</f>
        <v>0.36842105263157893</v>
      </c>
      <c r="S31" s="11">
        <v>8.0027300182141907</v>
      </c>
    </row>
    <row r="32" spans="1:19" x14ac:dyDescent="0.25">
      <c r="A32" s="9" t="s">
        <v>53</v>
      </c>
      <c r="B32" s="9" t="s">
        <v>46</v>
      </c>
      <c r="C32" s="9">
        <v>20</v>
      </c>
      <c r="D32" s="9" t="s">
        <v>24</v>
      </c>
      <c r="E32" s="8">
        <v>4</v>
      </c>
      <c r="F32" s="8">
        <v>4</v>
      </c>
      <c r="G32" s="8">
        <v>3</v>
      </c>
      <c r="H32" s="9">
        <v>60</v>
      </c>
      <c r="I32" s="9">
        <v>53</v>
      </c>
      <c r="J32" s="10">
        <f>Table3[[#This Row],[Total math correct answers]]/Table3[[#This Row],[Total math questions answered]]</f>
        <v>0.8833333333333333</v>
      </c>
      <c r="K32" s="11">
        <v>7.6203951517740798</v>
      </c>
      <c r="L32" s="8">
        <v>11</v>
      </c>
      <c r="M32" s="8">
        <v>7</v>
      </c>
      <c r="N32" s="12">
        <f>Table3[[#This Row],[Total code correct answers]]/Table3[[#This Row],[Total code questions answered]]</f>
        <v>0.63636363636363635</v>
      </c>
      <c r="O32" s="13">
        <v>17.373625603589101</v>
      </c>
      <c r="P32" s="9">
        <v>19</v>
      </c>
      <c r="Q32" s="9">
        <v>12</v>
      </c>
      <c r="R32" s="10">
        <f>Table3[[#This Row],[Total spatial correct answers]]/Table3[[#This Row],[Total spatial questions answered]]</f>
        <v>0.63157894736842102</v>
      </c>
      <c r="S32" s="11">
        <v>17.555885289844699</v>
      </c>
    </row>
    <row r="33" spans="1:19" x14ac:dyDescent="0.25">
      <c r="A33" s="9" t="s">
        <v>54</v>
      </c>
      <c r="B33" s="9" t="s">
        <v>46</v>
      </c>
      <c r="C33" s="9">
        <v>19</v>
      </c>
      <c r="D33" s="9" t="s">
        <v>21</v>
      </c>
      <c r="E33" s="8">
        <v>4</v>
      </c>
      <c r="F33" s="8">
        <v>5</v>
      </c>
      <c r="G33" s="8">
        <v>4</v>
      </c>
      <c r="H33" s="9">
        <v>152</v>
      </c>
      <c r="I33" s="9">
        <v>149</v>
      </c>
      <c r="J33" s="10">
        <f>Table3[[#This Row],[Total math correct answers]]/Table3[[#This Row],[Total math questions answered]]</f>
        <v>0.98026315789473684</v>
      </c>
      <c r="K33" s="11">
        <v>3.1006930988085801</v>
      </c>
      <c r="L33" s="8">
        <v>10</v>
      </c>
      <c r="M33" s="8">
        <v>7</v>
      </c>
      <c r="N33" s="12">
        <f>Table3[[#This Row],[Total code correct answers]]/Table3[[#This Row],[Total code questions answered]]</f>
        <v>0.7</v>
      </c>
      <c r="O33" s="13">
        <v>18.299604296684201</v>
      </c>
      <c r="P33" s="9">
        <v>19</v>
      </c>
      <c r="Q33" s="9">
        <v>13</v>
      </c>
      <c r="R33" s="10">
        <f>Table3[[#This Row],[Total spatial correct answers]]/Table3[[#This Row],[Total spatial questions answered]]</f>
        <v>0.68421052631578949</v>
      </c>
      <c r="S33" s="11">
        <v>16.4928830171886</v>
      </c>
    </row>
    <row r="34" spans="1:19" x14ac:dyDescent="0.25">
      <c r="A34" s="9" t="s">
        <v>55</v>
      </c>
      <c r="B34" s="9" t="s">
        <v>46</v>
      </c>
      <c r="C34" s="9">
        <v>19</v>
      </c>
      <c r="D34" s="9" t="s">
        <v>24</v>
      </c>
      <c r="E34" s="8">
        <v>4</v>
      </c>
      <c r="F34" s="8">
        <v>5</v>
      </c>
      <c r="G34" s="8">
        <v>5</v>
      </c>
      <c r="H34" s="9">
        <v>109</v>
      </c>
      <c r="I34" s="9">
        <v>103</v>
      </c>
      <c r="J34" s="10">
        <f>Table3[[#This Row],[Total math correct answers]]/Table3[[#This Row],[Total math questions answered]]</f>
        <v>0.94495412844036697</v>
      </c>
      <c r="K34" s="11">
        <v>4.2851454249215797</v>
      </c>
      <c r="L34" s="8">
        <v>12</v>
      </c>
      <c r="M34" s="8">
        <v>8</v>
      </c>
      <c r="N34" s="12">
        <f>Table3[[#This Row],[Total code correct answers]]/Table3[[#This Row],[Total code questions answered]]</f>
        <v>0.66666666666666663</v>
      </c>
      <c r="O34" s="13">
        <v>14.7416240771611</v>
      </c>
      <c r="P34" s="9">
        <v>19</v>
      </c>
      <c r="Q34" s="9">
        <v>12</v>
      </c>
      <c r="R34" s="10">
        <f>Table3[[#This Row],[Total spatial correct answers]]/Table3[[#This Row],[Total spatial questions answered]]</f>
        <v>0.63157894736842102</v>
      </c>
      <c r="S34" s="11">
        <v>10.9996524108083</v>
      </c>
    </row>
    <row r="35" spans="1:19" x14ac:dyDescent="0.25">
      <c r="A35" s="9" t="s">
        <v>56</v>
      </c>
      <c r="B35" s="9" t="s">
        <v>46</v>
      </c>
      <c r="C35" s="9">
        <v>18</v>
      </c>
      <c r="D35" s="9" t="s">
        <v>24</v>
      </c>
      <c r="E35" s="8">
        <v>4</v>
      </c>
      <c r="F35" s="8">
        <v>5</v>
      </c>
      <c r="G35" s="8">
        <v>4</v>
      </c>
      <c r="H35" s="9">
        <v>102</v>
      </c>
      <c r="I35" s="9">
        <v>99</v>
      </c>
      <c r="J35" s="10">
        <f>Table3[[#This Row],[Total math correct answers]]/Table3[[#This Row],[Total math questions answered]]</f>
        <v>0.97058823529411764</v>
      </c>
      <c r="K35" s="11">
        <v>4.52669609527962</v>
      </c>
      <c r="L35" s="8">
        <v>14</v>
      </c>
      <c r="M35" s="8">
        <v>6</v>
      </c>
      <c r="N35" s="12">
        <f>Table3[[#This Row],[Total code correct answers]]/Table3[[#This Row],[Total code questions answered]]</f>
        <v>0.42857142857142855</v>
      </c>
      <c r="O35" s="13">
        <v>12.709021653447801</v>
      </c>
      <c r="P35" s="9">
        <v>19</v>
      </c>
      <c r="Q35" s="9">
        <v>12</v>
      </c>
      <c r="R35" s="10">
        <f>Table3[[#This Row],[Total spatial correct answers]]/Table3[[#This Row],[Total spatial questions answered]]</f>
        <v>0.63157894736842102</v>
      </c>
      <c r="S35" s="11">
        <v>17.002796762867899</v>
      </c>
    </row>
    <row r="36" spans="1:19" x14ac:dyDescent="0.25">
      <c r="A36" s="9" t="s">
        <v>57</v>
      </c>
      <c r="B36" s="9" t="s">
        <v>46</v>
      </c>
      <c r="C36" s="9">
        <v>20</v>
      </c>
      <c r="D36" s="9" t="s">
        <v>21</v>
      </c>
      <c r="E36" s="8">
        <v>2</v>
      </c>
      <c r="F36" s="8">
        <v>5</v>
      </c>
      <c r="G36" s="8">
        <v>3</v>
      </c>
      <c r="H36" s="9">
        <v>84</v>
      </c>
      <c r="I36" s="9">
        <v>83</v>
      </c>
      <c r="J36" s="10">
        <f>Table3[[#This Row],[Total math correct answers]]/Table3[[#This Row],[Total math questions answered]]</f>
        <v>0.98809523809523814</v>
      </c>
      <c r="K36" s="11">
        <v>5.5071471759251196</v>
      </c>
      <c r="L36" s="8">
        <v>11</v>
      </c>
      <c r="M36" s="8">
        <v>10</v>
      </c>
      <c r="N36" s="12">
        <f>Table3[[#This Row],[Total code correct answers]]/Table3[[#This Row],[Total code questions answered]]</f>
        <v>0.90909090909090906</v>
      </c>
      <c r="O36" s="13">
        <v>14.913837454535701</v>
      </c>
      <c r="P36" s="9">
        <v>19</v>
      </c>
      <c r="Q36" s="9">
        <v>17</v>
      </c>
      <c r="R36" s="10">
        <f>Table3[[#This Row],[Total spatial correct answers]]/Table3[[#This Row],[Total spatial questions answered]]</f>
        <v>0.89473684210526316</v>
      </c>
      <c r="S36" s="11">
        <v>21.840571328213301</v>
      </c>
    </row>
    <row r="37" spans="1:19" x14ac:dyDescent="0.25">
      <c r="A37" s="9" t="s">
        <v>58</v>
      </c>
      <c r="B37" s="9" t="s">
        <v>46</v>
      </c>
      <c r="C37" s="9">
        <v>19</v>
      </c>
      <c r="D37" s="9" t="s">
        <v>21</v>
      </c>
      <c r="E37" s="8">
        <v>2</v>
      </c>
      <c r="F37" s="8">
        <v>5</v>
      </c>
      <c r="G37" s="8">
        <v>4</v>
      </c>
      <c r="H37" s="9">
        <v>138</v>
      </c>
      <c r="I37" s="9">
        <v>137</v>
      </c>
      <c r="J37" s="10">
        <f>Table3[[#This Row],[Total math correct answers]]/Table3[[#This Row],[Total math questions answered]]</f>
        <v>0.99275362318840576</v>
      </c>
      <c r="K37" s="11">
        <v>3.2968629218529899</v>
      </c>
      <c r="L37" s="8">
        <v>15</v>
      </c>
      <c r="M37" s="8">
        <v>9</v>
      </c>
      <c r="N37" s="12">
        <f>Table3[[#This Row],[Total code correct answers]]/Table3[[#This Row],[Total code questions answered]]</f>
        <v>0.6</v>
      </c>
      <c r="O37" s="13">
        <v>10.8328589757283</v>
      </c>
      <c r="P37" s="9">
        <v>19</v>
      </c>
      <c r="Q37" s="9">
        <v>13</v>
      </c>
      <c r="R37" s="10">
        <f>Table3[[#This Row],[Total spatial correct answers]]/Table3[[#This Row],[Total spatial questions answered]]</f>
        <v>0.68421052631578949</v>
      </c>
      <c r="S37" s="11">
        <v>11.273241319154399</v>
      </c>
    </row>
    <row r="38" spans="1:19" x14ac:dyDescent="0.25">
      <c r="A38" s="9" t="s">
        <v>59</v>
      </c>
      <c r="B38" s="9" t="s">
        <v>46</v>
      </c>
      <c r="C38" s="9">
        <v>19</v>
      </c>
      <c r="D38" s="9" t="s">
        <v>24</v>
      </c>
      <c r="E38" s="8">
        <v>2</v>
      </c>
      <c r="F38" s="8">
        <v>3</v>
      </c>
      <c r="G38" s="8">
        <v>4</v>
      </c>
      <c r="H38" s="9">
        <v>79</v>
      </c>
      <c r="I38" s="9">
        <v>78</v>
      </c>
      <c r="J38" s="10">
        <f>Table3[[#This Row],[Total math correct answers]]/Table3[[#This Row],[Total math questions answered]]</f>
        <v>0.98734177215189878</v>
      </c>
      <c r="K38" s="11">
        <v>5.9065841511835</v>
      </c>
      <c r="L38" s="8">
        <v>7</v>
      </c>
      <c r="M38" s="8">
        <v>5</v>
      </c>
      <c r="N38" s="12">
        <f>Table3[[#This Row],[Total code correct answers]]/Table3[[#This Row],[Total code questions answered]]</f>
        <v>0.7142857142857143</v>
      </c>
      <c r="O38" s="13">
        <v>27.645006758826099</v>
      </c>
      <c r="P38" s="9">
        <v>20</v>
      </c>
      <c r="Q38" s="9">
        <v>11</v>
      </c>
      <c r="R38" s="10">
        <f>Table3[[#This Row],[Total spatial correct answers]]/Table3[[#This Row],[Total spatial questions answered]]</f>
        <v>0.55000000000000004</v>
      </c>
      <c r="S38" s="11">
        <v>26.170081734657199</v>
      </c>
    </row>
    <row r="39" spans="1:19" x14ac:dyDescent="0.25">
      <c r="A39" s="9" t="s">
        <v>60</v>
      </c>
      <c r="B39" s="9" t="s">
        <v>46</v>
      </c>
      <c r="C39" s="9">
        <v>20</v>
      </c>
      <c r="D39" s="9" t="s">
        <v>21</v>
      </c>
      <c r="E39" s="8">
        <v>3</v>
      </c>
      <c r="F39" s="8">
        <v>4</v>
      </c>
      <c r="G39" s="8">
        <v>2</v>
      </c>
      <c r="H39" s="9">
        <v>116</v>
      </c>
      <c r="I39" s="9">
        <v>110</v>
      </c>
      <c r="J39" s="10">
        <f>Table3[[#This Row],[Total math correct answers]]/Table3[[#This Row],[Total math questions answered]]</f>
        <v>0.94827586206896552</v>
      </c>
      <c r="K39" s="11">
        <v>4.0491054345821498</v>
      </c>
      <c r="L39" s="8">
        <v>10</v>
      </c>
      <c r="M39" s="8">
        <v>5</v>
      </c>
      <c r="N39" s="12">
        <f>Table3[[#This Row],[Total code correct answers]]/Table3[[#This Row],[Total code questions answered]]</f>
        <v>0.5</v>
      </c>
      <c r="O39" s="13">
        <v>20.005482506751999</v>
      </c>
      <c r="P39" s="9">
        <v>19</v>
      </c>
      <c r="Q39" s="9">
        <v>13</v>
      </c>
      <c r="R39" s="10">
        <f>Table3[[#This Row],[Total spatial correct answers]]/Table3[[#This Row],[Total spatial questions answered]]</f>
        <v>0.68421052631578949</v>
      </c>
      <c r="S39" s="11">
        <v>28.513179452795601</v>
      </c>
    </row>
    <row r="40" spans="1:19" x14ac:dyDescent="0.25">
      <c r="A40" s="9" t="s">
        <v>61</v>
      </c>
      <c r="B40" s="9" t="s">
        <v>46</v>
      </c>
      <c r="C40" s="9">
        <v>19</v>
      </c>
      <c r="D40" s="9" t="s">
        <v>24</v>
      </c>
      <c r="E40" s="8">
        <v>3</v>
      </c>
      <c r="F40" s="8">
        <v>4</v>
      </c>
      <c r="G40" s="8">
        <v>3</v>
      </c>
      <c r="H40" s="9">
        <v>113</v>
      </c>
      <c r="I40" s="9">
        <v>107</v>
      </c>
      <c r="J40" s="10">
        <f>Table3[[#This Row],[Total math correct answers]]/Table3[[#This Row],[Total math questions answered]]</f>
        <v>0.94690265486725667</v>
      </c>
      <c r="K40" s="11">
        <v>4.1525856794509197</v>
      </c>
      <c r="L40" s="8">
        <v>18</v>
      </c>
      <c r="M40" s="8">
        <v>8</v>
      </c>
      <c r="N40" s="12">
        <f>Table3[[#This Row],[Total code correct answers]]/Table3[[#This Row],[Total code questions answered]]</f>
        <v>0.44444444444444442</v>
      </c>
      <c r="O40" s="13">
        <v>9.4310724470350404</v>
      </c>
      <c r="P40" s="9">
        <v>20</v>
      </c>
      <c r="Q40" s="9">
        <v>8</v>
      </c>
      <c r="R40" s="10">
        <f>Table3[[#This Row],[Total spatial correct answers]]/Table3[[#This Row],[Total spatial questions answered]]</f>
        <v>0.4</v>
      </c>
      <c r="S40" s="11">
        <v>6.3390682816505199</v>
      </c>
    </row>
    <row r="41" spans="1:19" x14ac:dyDescent="0.25">
      <c r="A41" s="9" t="s">
        <v>62</v>
      </c>
      <c r="B41" s="9" t="s">
        <v>46</v>
      </c>
      <c r="C41" s="9">
        <v>20</v>
      </c>
      <c r="D41" s="9" t="s">
        <v>21</v>
      </c>
      <c r="E41" s="8">
        <v>4</v>
      </c>
      <c r="F41" s="8">
        <v>3</v>
      </c>
      <c r="G41" s="8">
        <v>5</v>
      </c>
      <c r="H41" s="9">
        <v>82</v>
      </c>
      <c r="I41" s="9">
        <v>77</v>
      </c>
      <c r="J41" s="10">
        <f>Table3[[#This Row],[Total math correct answers]]/Table3[[#This Row],[Total math questions answered]]</f>
        <v>0.93902439024390238</v>
      </c>
      <c r="K41" s="11">
        <v>5.6006921355317196</v>
      </c>
      <c r="L41" s="8">
        <v>11</v>
      </c>
      <c r="M41" s="8">
        <v>7</v>
      </c>
      <c r="N41" s="12">
        <f>Table3[[#This Row],[Total code correct answers]]/Table3[[#This Row],[Total code questions answered]]</f>
        <v>0.63636363636363635</v>
      </c>
      <c r="O41" s="13">
        <v>17.275129491632601</v>
      </c>
      <c r="P41" s="9">
        <v>19</v>
      </c>
      <c r="Q41" s="9">
        <v>13</v>
      </c>
      <c r="R41" s="10">
        <f>Table3[[#This Row],[Total spatial correct answers]]/Table3[[#This Row],[Total spatial questions answered]]</f>
        <v>0.68421052631578949</v>
      </c>
      <c r="S41" s="11">
        <v>20.441983097477902</v>
      </c>
    </row>
    <row r="42" spans="1:19" x14ac:dyDescent="0.25">
      <c r="A42" s="9" t="s">
        <v>63</v>
      </c>
      <c r="B42" s="9" t="s">
        <v>46</v>
      </c>
      <c r="C42" s="9">
        <v>19</v>
      </c>
      <c r="D42" s="9" t="s">
        <v>21</v>
      </c>
      <c r="E42" s="8">
        <v>5</v>
      </c>
      <c r="F42" s="8">
        <v>5</v>
      </c>
      <c r="G42" s="8">
        <v>4</v>
      </c>
      <c r="H42" s="9">
        <v>116</v>
      </c>
      <c r="I42" s="9">
        <v>112</v>
      </c>
      <c r="J42" s="10">
        <f>Table3[[#This Row],[Total math correct answers]]/Table3[[#This Row],[Total math questions answered]]</f>
        <v>0.96551724137931039</v>
      </c>
      <c r="K42" s="11">
        <v>4.0402463975160003</v>
      </c>
      <c r="L42" s="8">
        <v>12</v>
      </c>
      <c r="M42" s="8">
        <v>10</v>
      </c>
      <c r="N42" s="12">
        <f>Table3[[#This Row],[Total code correct answers]]/Table3[[#This Row],[Total code questions answered]]</f>
        <v>0.83333333333333337</v>
      </c>
      <c r="O42" s="13">
        <v>14.8517866333325</v>
      </c>
      <c r="P42" s="9">
        <v>19</v>
      </c>
      <c r="Q42" s="9">
        <v>16</v>
      </c>
      <c r="R42" s="10">
        <f>Table3[[#This Row],[Total spatial correct answers]]/Table3[[#This Row],[Total spatial questions answered]]</f>
        <v>0.84210526315789469</v>
      </c>
      <c r="S42" s="11">
        <v>10.3916388561851</v>
      </c>
    </row>
    <row r="43" spans="1:19" x14ac:dyDescent="0.25">
      <c r="A43" s="9" t="s">
        <v>64</v>
      </c>
      <c r="B43" s="9" t="s">
        <v>46</v>
      </c>
      <c r="C43" s="9">
        <v>24</v>
      </c>
      <c r="D43" s="9" t="s">
        <v>21</v>
      </c>
      <c r="E43" s="8">
        <v>4</v>
      </c>
      <c r="F43" s="8">
        <v>3</v>
      </c>
      <c r="G43" s="8">
        <v>4</v>
      </c>
      <c r="H43" s="9">
        <v>70</v>
      </c>
      <c r="I43" s="9">
        <v>65</v>
      </c>
      <c r="J43" s="10">
        <f>Table3[[#This Row],[Total math correct answers]]/Table3[[#This Row],[Total math questions answered]]</f>
        <v>0.9285714285714286</v>
      </c>
      <c r="K43" s="11">
        <v>6.5415350948061199</v>
      </c>
      <c r="L43" s="8">
        <v>9</v>
      </c>
      <c r="M43" s="8">
        <v>5</v>
      </c>
      <c r="N43" s="12">
        <f>Table3[[#This Row],[Total code correct answers]]/Table3[[#This Row],[Total code questions answered]]</f>
        <v>0.55555555555555558</v>
      </c>
      <c r="O43" s="13">
        <v>20.353497187296501</v>
      </c>
      <c r="P43" s="9">
        <v>19</v>
      </c>
      <c r="Q43" s="9">
        <v>17</v>
      </c>
      <c r="R43" s="10">
        <f>Table3[[#This Row],[Total spatial correct answers]]/Table3[[#This Row],[Total spatial questions answered]]</f>
        <v>0.89473684210526316</v>
      </c>
      <c r="S43" s="11">
        <v>23.231997276607299</v>
      </c>
    </row>
    <row r="44" spans="1:19" x14ac:dyDescent="0.25">
      <c r="A44" s="9" t="s">
        <v>65</v>
      </c>
      <c r="B44" s="9" t="s">
        <v>46</v>
      </c>
      <c r="C44" s="9">
        <v>20</v>
      </c>
      <c r="D44" s="9" t="s">
        <v>21</v>
      </c>
      <c r="E44" s="8">
        <v>4</v>
      </c>
      <c r="F44" s="8">
        <v>4</v>
      </c>
      <c r="G44" s="8">
        <v>5</v>
      </c>
      <c r="H44" s="9">
        <v>92</v>
      </c>
      <c r="I44" s="9">
        <v>80</v>
      </c>
      <c r="J44" s="10">
        <f>Table3[[#This Row],[Total math correct answers]]/Table3[[#This Row],[Total math questions answered]]</f>
        <v>0.86956521739130432</v>
      </c>
      <c r="K44" s="11">
        <v>5.0698011802590397</v>
      </c>
      <c r="L44" s="8">
        <v>8</v>
      </c>
      <c r="M44" s="8">
        <v>4</v>
      </c>
      <c r="N44" s="12">
        <f>Table3[[#This Row],[Total code correct answers]]/Table3[[#This Row],[Total code questions answered]]</f>
        <v>0.5</v>
      </c>
      <c r="O44" s="13">
        <v>23.391438573598801</v>
      </c>
      <c r="P44" s="9">
        <v>19</v>
      </c>
      <c r="Q44" s="9">
        <v>17</v>
      </c>
      <c r="R44" s="10">
        <f>Table3[[#This Row],[Total spatial correct answers]]/Table3[[#This Row],[Total spatial questions answered]]</f>
        <v>0.89473684210526316</v>
      </c>
      <c r="S44" s="11">
        <v>12.842030487562401</v>
      </c>
    </row>
    <row r="45" spans="1:19" x14ac:dyDescent="0.25">
      <c r="A45" s="9" t="s">
        <v>66</v>
      </c>
      <c r="B45" s="9" t="s">
        <v>46</v>
      </c>
      <c r="C45" s="9">
        <v>19</v>
      </c>
      <c r="D45" s="9" t="s">
        <v>24</v>
      </c>
      <c r="E45" s="8">
        <v>3</v>
      </c>
      <c r="F45" s="8">
        <v>4</v>
      </c>
      <c r="G45" s="8">
        <v>4</v>
      </c>
      <c r="H45" s="9">
        <v>155</v>
      </c>
      <c r="I45" s="9">
        <v>142</v>
      </c>
      <c r="J45" s="10">
        <f>Table3[[#This Row],[Total math correct answers]]/Table3[[#This Row],[Total math questions answered]]</f>
        <v>0.91612903225806452</v>
      </c>
      <c r="K45" s="11">
        <v>3.0123793971153998</v>
      </c>
      <c r="L45" s="8">
        <v>23</v>
      </c>
      <c r="M45" s="8">
        <v>9</v>
      </c>
      <c r="N45" s="12">
        <f>Table3[[#This Row],[Total code correct answers]]/Table3[[#This Row],[Total code questions answered]]</f>
        <v>0.39130434782608697</v>
      </c>
      <c r="O45" s="13">
        <v>7.4885563124780896</v>
      </c>
      <c r="P45" s="9">
        <v>19</v>
      </c>
      <c r="Q45" s="9">
        <v>15</v>
      </c>
      <c r="R45" s="10">
        <f>Table3[[#This Row],[Total spatial correct answers]]/Table3[[#This Row],[Total spatial questions answered]]</f>
        <v>0.78947368421052633</v>
      </c>
      <c r="S45" s="11">
        <v>11.7327921766983</v>
      </c>
    </row>
    <row r="46" spans="1:19" x14ac:dyDescent="0.25">
      <c r="A46" s="9" t="s">
        <v>67</v>
      </c>
      <c r="B46" s="9" t="s">
        <v>46</v>
      </c>
      <c r="C46" s="9">
        <v>21</v>
      </c>
      <c r="D46" s="9" t="s">
        <v>24</v>
      </c>
      <c r="E46" s="8">
        <v>3</v>
      </c>
      <c r="F46" s="8">
        <v>4</v>
      </c>
      <c r="G46" s="8">
        <v>3</v>
      </c>
      <c r="H46" s="9">
        <v>105</v>
      </c>
      <c r="I46" s="9">
        <v>103</v>
      </c>
      <c r="J46" s="10">
        <f>Table3[[#This Row],[Total math correct answers]]/Table3[[#This Row],[Total math questions answered]]</f>
        <v>0.98095238095238091</v>
      </c>
      <c r="K46" s="11">
        <v>3.81110051472981</v>
      </c>
      <c r="L46" s="8">
        <v>7</v>
      </c>
      <c r="M46" s="8">
        <v>4</v>
      </c>
      <c r="N46" s="12">
        <f>Table3[[#This Row],[Total code correct answers]]/Table3[[#This Row],[Total code questions answered]]</f>
        <v>0.5714285714285714</v>
      </c>
      <c r="O46" s="13">
        <v>26.4722110203334</v>
      </c>
      <c r="P46" s="9">
        <v>19</v>
      </c>
      <c r="Q46" s="9">
        <v>12</v>
      </c>
      <c r="R46" s="10">
        <f>Table3[[#This Row],[Total spatial correct answers]]/Table3[[#This Row],[Total spatial questions answered]]</f>
        <v>0.63157894736842102</v>
      </c>
      <c r="S46" s="11">
        <v>22.638328928696399</v>
      </c>
    </row>
    <row r="47" spans="1:19" x14ac:dyDescent="0.25">
      <c r="A47" s="9" t="s">
        <v>68</v>
      </c>
      <c r="B47" s="9" t="s">
        <v>46</v>
      </c>
      <c r="C47" s="9">
        <v>20</v>
      </c>
      <c r="D47" s="9" t="s">
        <v>24</v>
      </c>
      <c r="E47" s="8">
        <v>2</v>
      </c>
      <c r="F47" s="8">
        <v>4</v>
      </c>
      <c r="G47" s="8">
        <v>4</v>
      </c>
      <c r="H47" s="9">
        <v>128</v>
      </c>
      <c r="I47" s="9">
        <v>126</v>
      </c>
      <c r="J47" s="10">
        <f>Table3[[#This Row],[Total math correct answers]]/Table3[[#This Row],[Total math questions answered]]</f>
        <v>0.984375</v>
      </c>
      <c r="K47" s="11">
        <v>3.4488806161354799</v>
      </c>
      <c r="L47" s="8">
        <v>11</v>
      </c>
      <c r="M47" s="8">
        <v>6</v>
      </c>
      <c r="N47" s="12">
        <f>Table3[[#This Row],[Total code correct answers]]/Table3[[#This Row],[Total code questions answered]]</f>
        <v>0.54545454545454541</v>
      </c>
      <c r="O47" s="13">
        <v>17.090050740675501</v>
      </c>
      <c r="P47" s="9">
        <v>19</v>
      </c>
      <c r="Q47" s="9">
        <v>11</v>
      </c>
      <c r="R47" s="10">
        <f>Table3[[#This Row],[Total spatial correct answers]]/Table3[[#This Row],[Total spatial questions answered]]</f>
        <v>0.57894736842105265</v>
      </c>
      <c r="S47" s="11">
        <v>13.645484008287101</v>
      </c>
    </row>
    <row r="48" spans="1:19" x14ac:dyDescent="0.25">
      <c r="A48" s="9" t="s">
        <v>69</v>
      </c>
      <c r="B48" s="9" t="s">
        <v>46</v>
      </c>
      <c r="C48" s="9">
        <v>18</v>
      </c>
      <c r="D48" s="9" t="s">
        <v>24</v>
      </c>
      <c r="E48" s="8">
        <v>4</v>
      </c>
      <c r="F48" s="8">
        <v>5</v>
      </c>
      <c r="G48" s="8">
        <v>5</v>
      </c>
      <c r="H48" s="9">
        <v>82</v>
      </c>
      <c r="I48" s="9">
        <v>70</v>
      </c>
      <c r="J48" s="10">
        <f>Table3[[#This Row],[Total math correct answers]]/Table3[[#This Row],[Total math questions answered]]</f>
        <v>0.85365853658536583</v>
      </c>
      <c r="K48" s="11">
        <v>5.5578856846181299</v>
      </c>
      <c r="L48" s="8">
        <v>10</v>
      </c>
      <c r="M48" s="8">
        <v>5</v>
      </c>
      <c r="N48" s="12">
        <f>Table3[[#This Row],[Total code correct answers]]/Table3[[#This Row],[Total code questions answered]]</f>
        <v>0.5</v>
      </c>
      <c r="O48" s="13">
        <v>19.016752457618701</v>
      </c>
      <c r="P48" s="9">
        <v>19</v>
      </c>
      <c r="Q48" s="9">
        <v>11</v>
      </c>
      <c r="R48" s="10">
        <f>Table3[[#This Row],[Total spatial correct answers]]/Table3[[#This Row],[Total spatial questions answered]]</f>
        <v>0.57894736842105265</v>
      </c>
      <c r="S48" s="11">
        <v>15.521871529127299</v>
      </c>
    </row>
    <row r="49" spans="1:19" x14ac:dyDescent="0.25">
      <c r="A49" s="9" t="s">
        <v>70</v>
      </c>
      <c r="B49" s="9" t="s">
        <v>46</v>
      </c>
      <c r="C49" s="9">
        <v>20</v>
      </c>
      <c r="D49" s="9" t="s">
        <v>24</v>
      </c>
      <c r="E49" s="8">
        <v>3</v>
      </c>
      <c r="F49" s="8">
        <v>4</v>
      </c>
      <c r="G49" s="8">
        <v>3</v>
      </c>
      <c r="H49" s="9">
        <v>106</v>
      </c>
      <c r="I49" s="9">
        <v>99</v>
      </c>
      <c r="J49" s="10">
        <f>Table3[[#This Row],[Total math correct answers]]/Table3[[#This Row],[Total math questions answered]]</f>
        <v>0.93396226415094341</v>
      </c>
      <c r="K49" s="11">
        <v>4.4428483697603296</v>
      </c>
      <c r="L49" s="8">
        <v>10</v>
      </c>
      <c r="M49" s="8">
        <v>4</v>
      </c>
      <c r="N49" s="12">
        <f>Table3[[#This Row],[Total code correct answers]]/Table3[[#This Row],[Total code questions answered]]</f>
        <v>0.4</v>
      </c>
      <c r="O49" s="13">
        <v>19.3637880563736</v>
      </c>
      <c r="P49" s="9">
        <v>19</v>
      </c>
      <c r="Q49" s="9">
        <v>13</v>
      </c>
      <c r="R49" s="10">
        <f>Table3[[#This Row],[Total spatial correct answers]]/Table3[[#This Row],[Total spatial questions answered]]</f>
        <v>0.68421052631578949</v>
      </c>
      <c r="S49" s="11">
        <v>15.9092498327556</v>
      </c>
    </row>
    <row r="50" spans="1:19" x14ac:dyDescent="0.25">
      <c r="A50" s="9" t="s">
        <v>71</v>
      </c>
      <c r="B50" s="9" t="s">
        <v>46</v>
      </c>
      <c r="C50" s="9">
        <v>20</v>
      </c>
      <c r="D50" s="9" t="s">
        <v>24</v>
      </c>
      <c r="E50" s="8">
        <v>3</v>
      </c>
      <c r="F50" s="8">
        <v>4</v>
      </c>
      <c r="G50" s="8">
        <v>5</v>
      </c>
      <c r="H50" s="9">
        <v>94</v>
      </c>
      <c r="I50" s="9">
        <v>91</v>
      </c>
      <c r="J50" s="10">
        <f>Table3[[#This Row],[Total math correct answers]]/Table3[[#This Row],[Total math questions answered]]</f>
        <v>0.96808510638297873</v>
      </c>
      <c r="K50" s="11">
        <v>4.9072010593211299</v>
      </c>
      <c r="L50" s="8">
        <v>15</v>
      </c>
      <c r="M50" s="8">
        <v>5</v>
      </c>
      <c r="N50" s="12">
        <f>Table3[[#This Row],[Total code correct answers]]/Table3[[#This Row],[Total code questions answered]]</f>
        <v>0.33333333333333331</v>
      </c>
      <c r="O50" s="13">
        <v>12.5210895379384</v>
      </c>
      <c r="P50" s="9">
        <v>19</v>
      </c>
      <c r="Q50" s="9">
        <v>10</v>
      </c>
      <c r="R50" s="10">
        <f>Table3[[#This Row],[Total spatial correct answers]]/Table3[[#This Row],[Total spatial questions answered]]</f>
        <v>0.52631578947368418</v>
      </c>
      <c r="S50" s="11">
        <v>8.5644112888135595</v>
      </c>
    </row>
    <row r="51" spans="1:19" x14ac:dyDescent="0.25">
      <c r="A51" s="9" t="s">
        <v>72</v>
      </c>
      <c r="B51" s="9" t="s">
        <v>46</v>
      </c>
      <c r="C51" s="9">
        <v>20</v>
      </c>
      <c r="D51" s="9" t="s">
        <v>24</v>
      </c>
      <c r="E51" s="8">
        <v>5</v>
      </c>
      <c r="F51" s="8">
        <v>5</v>
      </c>
      <c r="G51" s="8">
        <v>5</v>
      </c>
      <c r="H51" s="9">
        <v>56</v>
      </c>
      <c r="I51" s="9">
        <v>54</v>
      </c>
      <c r="J51" s="10">
        <f>Table3[[#This Row],[Total math correct answers]]/Table3[[#This Row],[Total math questions answered]]</f>
        <v>0.9642857142857143</v>
      </c>
      <c r="K51" s="11">
        <v>7.5614167238984802</v>
      </c>
      <c r="L51" s="8">
        <v>8</v>
      </c>
      <c r="M51" s="8">
        <v>3</v>
      </c>
      <c r="N51" s="12">
        <f>Table3[[#This Row],[Total code correct answers]]/Table3[[#This Row],[Total code questions answered]]</f>
        <v>0.375</v>
      </c>
      <c r="O51" s="13">
        <v>24.345622181892299</v>
      </c>
      <c r="P51" s="9">
        <v>19</v>
      </c>
      <c r="Q51" s="9">
        <v>14</v>
      </c>
      <c r="R51" s="10">
        <f>Table3[[#This Row],[Total spatial correct answers]]/Table3[[#This Row],[Total spatial questions answered]]</f>
        <v>0.73684210526315785</v>
      </c>
      <c r="S51" s="11">
        <v>15.124318386379001</v>
      </c>
    </row>
    <row r="52" spans="1:19" x14ac:dyDescent="0.25">
      <c r="A52" s="9" t="s">
        <v>73</v>
      </c>
      <c r="B52" s="9" t="s">
        <v>46</v>
      </c>
      <c r="C52" s="9">
        <v>20</v>
      </c>
      <c r="D52" s="9" t="s">
        <v>24</v>
      </c>
      <c r="E52" s="8">
        <v>4</v>
      </c>
      <c r="F52" s="8">
        <v>3</v>
      </c>
      <c r="G52" s="8">
        <v>5</v>
      </c>
      <c r="H52" s="9">
        <v>83</v>
      </c>
      <c r="I52" s="9">
        <v>63</v>
      </c>
      <c r="J52" s="10">
        <f>Table3[[#This Row],[Total math correct answers]]/Table3[[#This Row],[Total math questions answered]]</f>
        <v>0.75903614457831325</v>
      </c>
      <c r="K52" s="11">
        <v>5.5073045563985001</v>
      </c>
      <c r="L52" s="8">
        <v>12</v>
      </c>
      <c r="M52" s="8">
        <v>6</v>
      </c>
      <c r="N52" s="12">
        <f>Table3[[#This Row],[Total code correct answers]]/Table3[[#This Row],[Total code questions answered]]</f>
        <v>0.5</v>
      </c>
      <c r="O52" s="13">
        <v>15.276003619035</v>
      </c>
      <c r="P52" s="9">
        <v>19</v>
      </c>
      <c r="Q52" s="9">
        <v>10</v>
      </c>
      <c r="R52" s="10">
        <f>Table3[[#This Row],[Total spatial correct answers]]/Table3[[#This Row],[Total spatial questions answered]]</f>
        <v>0.52631578947368418</v>
      </c>
      <c r="S52" s="11">
        <v>12.1761291654486</v>
      </c>
    </row>
    <row r="53" spans="1:19" x14ac:dyDescent="0.25">
      <c r="A53" s="9" t="s">
        <v>74</v>
      </c>
      <c r="B53" s="9" t="s">
        <v>46</v>
      </c>
      <c r="C53" s="9">
        <v>19</v>
      </c>
      <c r="D53" s="9" t="s">
        <v>21</v>
      </c>
      <c r="E53" s="8">
        <v>4</v>
      </c>
      <c r="F53" s="8">
        <v>5</v>
      </c>
      <c r="G53" s="8">
        <v>5</v>
      </c>
      <c r="H53" s="9">
        <v>126</v>
      </c>
      <c r="I53" s="9">
        <v>112</v>
      </c>
      <c r="J53" s="10">
        <f>Table3[[#This Row],[Total math correct answers]]/Table3[[#This Row],[Total math questions answered]]</f>
        <v>0.88888888888888884</v>
      </c>
      <c r="K53" s="11">
        <v>3.6633590857187901</v>
      </c>
      <c r="L53" s="8">
        <v>15</v>
      </c>
      <c r="M53" s="8">
        <v>6</v>
      </c>
      <c r="N53" s="12">
        <f>Table3[[#This Row],[Total code correct answers]]/Table3[[#This Row],[Total code questions answered]]</f>
        <v>0.4</v>
      </c>
      <c r="O53" s="13">
        <v>12.188192860285399</v>
      </c>
      <c r="P53" s="9">
        <v>19</v>
      </c>
      <c r="Q53" s="9">
        <v>15</v>
      </c>
      <c r="R53" s="10">
        <f>Table3[[#This Row],[Total spatial correct answers]]/Table3[[#This Row],[Total spatial questions answered]]</f>
        <v>0.78947368421052633</v>
      </c>
      <c r="S53" s="11">
        <v>12.8125794561285</v>
      </c>
    </row>
    <row r="54" spans="1:19" x14ac:dyDescent="0.25">
      <c r="A54" s="9" t="s">
        <v>75</v>
      </c>
      <c r="B54" s="9" t="s">
        <v>46</v>
      </c>
      <c r="C54" s="9">
        <v>19</v>
      </c>
      <c r="D54" s="9" t="s">
        <v>24</v>
      </c>
      <c r="E54" s="8">
        <v>3</v>
      </c>
      <c r="F54" s="8">
        <v>4</v>
      </c>
      <c r="G54" s="8">
        <v>4</v>
      </c>
      <c r="H54" s="9">
        <v>87</v>
      </c>
      <c r="I54" s="9">
        <v>73</v>
      </c>
      <c r="J54" s="10">
        <f>Table3[[#This Row],[Total math correct answers]]/Table3[[#This Row],[Total math questions answered]]</f>
        <v>0.83908045977011492</v>
      </c>
      <c r="K54" s="11">
        <v>5.3135384006061699</v>
      </c>
      <c r="L54" s="8">
        <v>14</v>
      </c>
      <c r="M54" s="8">
        <v>8</v>
      </c>
      <c r="N54" s="12">
        <f>Table3[[#This Row],[Total code correct answers]]/Table3[[#This Row],[Total code questions answered]]</f>
        <v>0.5714285714285714</v>
      </c>
      <c r="O54" s="13">
        <v>12.8604398284639</v>
      </c>
      <c r="P54" s="9">
        <v>19</v>
      </c>
      <c r="Q54" s="9">
        <v>13</v>
      </c>
      <c r="R54" s="10">
        <f>Table3[[#This Row],[Total spatial correct answers]]/Table3[[#This Row],[Total spatial questions answered]]</f>
        <v>0.68421052631578949</v>
      </c>
      <c r="S54" s="11">
        <v>12.4453383370449</v>
      </c>
    </row>
    <row r="55" spans="1:19" x14ac:dyDescent="0.25">
      <c r="A55" s="9" t="s">
        <v>76</v>
      </c>
      <c r="B55" s="9" t="s">
        <v>46</v>
      </c>
      <c r="C55" s="9">
        <v>19</v>
      </c>
      <c r="D55" s="9" t="s">
        <v>21</v>
      </c>
      <c r="E55" s="8">
        <v>4</v>
      </c>
      <c r="F55" s="8">
        <v>5</v>
      </c>
      <c r="G55" s="8">
        <v>4</v>
      </c>
      <c r="H55" s="9">
        <v>93</v>
      </c>
      <c r="I55" s="9">
        <v>90</v>
      </c>
      <c r="J55" s="10">
        <f>Table3[[#This Row],[Total math correct answers]]/Table3[[#This Row],[Total math questions answered]]</f>
        <v>0.967741935483871</v>
      </c>
      <c r="K55" s="11">
        <v>4.7941844873530801</v>
      </c>
      <c r="L55" s="8">
        <v>10</v>
      </c>
      <c r="M55" s="8">
        <v>8</v>
      </c>
      <c r="N55" s="12">
        <f>Table3[[#This Row],[Total code correct answers]]/Table3[[#This Row],[Total code questions answered]]</f>
        <v>0.8</v>
      </c>
      <c r="O55" s="13">
        <v>15.194151186942999</v>
      </c>
      <c r="P55" s="9">
        <v>19</v>
      </c>
      <c r="Q55" s="9">
        <v>18</v>
      </c>
      <c r="R55" s="10">
        <f>Table3[[#This Row],[Total spatial correct answers]]/Table3[[#This Row],[Total spatial questions answered]]</f>
        <v>0.94736842105263153</v>
      </c>
      <c r="S55" s="11">
        <v>22.141632619656999</v>
      </c>
    </row>
    <row r="56" spans="1:19" x14ac:dyDescent="0.25">
      <c r="A56" s="9" t="s">
        <v>77</v>
      </c>
      <c r="B56" s="9" t="s">
        <v>46</v>
      </c>
      <c r="C56" s="9">
        <v>19</v>
      </c>
      <c r="D56" s="9" t="s">
        <v>24</v>
      </c>
      <c r="E56" s="8">
        <v>4</v>
      </c>
      <c r="F56" s="8">
        <v>4</v>
      </c>
      <c r="G56" s="8">
        <v>3</v>
      </c>
      <c r="H56" s="9">
        <v>124</v>
      </c>
      <c r="I56" s="9">
        <v>111</v>
      </c>
      <c r="J56" s="10">
        <f>Table3[[#This Row],[Total math correct answers]]/Table3[[#This Row],[Total math questions answered]]</f>
        <v>0.89516129032258063</v>
      </c>
      <c r="K56" s="11">
        <v>3.7585104273968</v>
      </c>
      <c r="L56" s="8">
        <v>15</v>
      </c>
      <c r="M56" s="8">
        <v>10</v>
      </c>
      <c r="N56" s="12">
        <f>Table3[[#This Row],[Total code correct answers]]/Table3[[#This Row],[Total code questions answered]]</f>
        <v>0.66666666666666663</v>
      </c>
      <c r="O56" s="13">
        <v>13.4203339894612</v>
      </c>
      <c r="P56" s="9">
        <v>19</v>
      </c>
      <c r="Q56" s="9">
        <v>6</v>
      </c>
      <c r="R56" s="10">
        <f>Table3[[#This Row],[Total spatial correct answers]]/Table3[[#This Row],[Total spatial questions answered]]</f>
        <v>0.31578947368421051</v>
      </c>
      <c r="S56" s="11">
        <v>12.9289120122006</v>
      </c>
    </row>
    <row r="57" spans="1:19" x14ac:dyDescent="0.25">
      <c r="A57" s="9" t="s">
        <v>78</v>
      </c>
      <c r="B57" s="9" t="s">
        <v>46</v>
      </c>
      <c r="C57" s="9">
        <v>19</v>
      </c>
      <c r="D57" s="9" t="s">
        <v>24</v>
      </c>
      <c r="E57" s="8">
        <v>3</v>
      </c>
      <c r="F57" s="8">
        <v>4</v>
      </c>
      <c r="G57" s="8">
        <v>2</v>
      </c>
      <c r="H57" s="9">
        <v>126</v>
      </c>
      <c r="I57" s="9">
        <v>117</v>
      </c>
      <c r="J57" s="10">
        <f>Table3[[#This Row],[Total math correct answers]]/Table3[[#This Row],[Total math questions answered]]</f>
        <v>0.9285714285714286</v>
      </c>
      <c r="K57" s="11">
        <v>3.6267886578090498</v>
      </c>
      <c r="L57" s="8">
        <v>16</v>
      </c>
      <c r="M57" s="8">
        <v>9</v>
      </c>
      <c r="N57" s="12">
        <f>Table3[[#This Row],[Total code correct answers]]/Table3[[#This Row],[Total code questions answered]]</f>
        <v>0.5625</v>
      </c>
      <c r="O57" s="13">
        <v>11.4562369585037</v>
      </c>
      <c r="P57" s="9">
        <v>19</v>
      </c>
      <c r="Q57" s="9">
        <v>9</v>
      </c>
      <c r="R57" s="10">
        <f>Table3[[#This Row],[Total spatial correct answers]]/Table3[[#This Row],[Total spatial questions answered]]</f>
        <v>0.47368421052631576</v>
      </c>
      <c r="S57" s="11">
        <v>10.7650108839336</v>
      </c>
    </row>
    <row r="58" spans="1:19" x14ac:dyDescent="0.25">
      <c r="A58" s="9" t="s">
        <v>79</v>
      </c>
      <c r="B58" s="9" t="s">
        <v>46</v>
      </c>
      <c r="C58" s="9">
        <v>19</v>
      </c>
      <c r="D58" s="9" t="s">
        <v>24</v>
      </c>
      <c r="E58" s="8">
        <v>1</v>
      </c>
      <c r="F58" s="8">
        <v>5</v>
      </c>
      <c r="G58" s="8">
        <v>5</v>
      </c>
      <c r="H58" s="9">
        <v>173</v>
      </c>
      <c r="I58" s="9">
        <v>168</v>
      </c>
      <c r="J58" s="10">
        <f>Table3[[#This Row],[Total math correct answers]]/Table3[[#This Row],[Total math questions answered]]</f>
        <v>0.97109826589595372</v>
      </c>
      <c r="K58" s="11">
        <v>2.7273996992607299</v>
      </c>
      <c r="L58" s="8">
        <v>17</v>
      </c>
      <c r="M58" s="8">
        <v>8</v>
      </c>
      <c r="N58" s="12">
        <f>Table3[[#This Row],[Total code correct answers]]/Table3[[#This Row],[Total code questions answered]]</f>
        <v>0.47058823529411764</v>
      </c>
      <c r="O58" s="13">
        <v>10.8227717736188</v>
      </c>
      <c r="P58" s="9">
        <v>20</v>
      </c>
      <c r="Q58" s="9">
        <v>8</v>
      </c>
      <c r="R58" s="10">
        <f>Table3[[#This Row],[Total spatial correct answers]]/Table3[[#This Row],[Total spatial questions answered]]</f>
        <v>0.4</v>
      </c>
      <c r="S58" s="11">
        <v>8.9380888462066999</v>
      </c>
    </row>
    <row r="59" spans="1:19" x14ac:dyDescent="0.25">
      <c r="A59" s="9" t="s">
        <v>80</v>
      </c>
      <c r="B59" s="9" t="s">
        <v>46</v>
      </c>
      <c r="C59" s="9">
        <v>20</v>
      </c>
      <c r="D59" s="9" t="s">
        <v>24</v>
      </c>
      <c r="E59" s="8">
        <v>3</v>
      </c>
      <c r="F59" s="8">
        <v>5</v>
      </c>
      <c r="G59" s="8">
        <v>5</v>
      </c>
      <c r="H59" s="9">
        <v>156</v>
      </c>
      <c r="I59" s="9">
        <v>150</v>
      </c>
      <c r="J59" s="10">
        <f>Table3[[#This Row],[Total math correct answers]]/Table3[[#This Row],[Total math questions answered]]</f>
        <v>0.96153846153846156</v>
      </c>
      <c r="K59" s="11">
        <v>2.9598929133170699</v>
      </c>
      <c r="L59" s="8">
        <v>12</v>
      </c>
      <c r="M59" s="8">
        <v>10</v>
      </c>
      <c r="N59" s="12">
        <f>Table3[[#This Row],[Total code correct answers]]/Table3[[#This Row],[Total code questions answered]]</f>
        <v>0.83333333333333337</v>
      </c>
      <c r="O59" s="13">
        <v>15.4041377902031</v>
      </c>
      <c r="P59" s="9">
        <v>19</v>
      </c>
      <c r="Q59" s="9">
        <v>14</v>
      </c>
      <c r="R59" s="10">
        <f>Table3[[#This Row],[Total spatial correct answers]]/Table3[[#This Row],[Total spatial questions answered]]</f>
        <v>0.73684210526315785</v>
      </c>
      <c r="S59" s="11">
        <v>14.6966831307662</v>
      </c>
    </row>
    <row r="60" spans="1:19" x14ac:dyDescent="0.25">
      <c r="A60" s="9" t="s">
        <v>81</v>
      </c>
      <c r="B60" s="9" t="s">
        <v>46</v>
      </c>
      <c r="C60" s="9">
        <v>19</v>
      </c>
      <c r="D60" s="9" t="s">
        <v>24</v>
      </c>
      <c r="E60" s="8">
        <v>3</v>
      </c>
      <c r="F60" s="8">
        <v>4</v>
      </c>
      <c r="G60" s="8">
        <v>4</v>
      </c>
      <c r="H60" s="9">
        <v>92</v>
      </c>
      <c r="I60" s="9">
        <v>85</v>
      </c>
      <c r="J60" s="10">
        <f>Table3[[#This Row],[Total math correct answers]]/Table3[[#This Row],[Total math questions answered]]</f>
        <v>0.92391304347826086</v>
      </c>
      <c r="K60" s="11">
        <v>5.03849220275879</v>
      </c>
      <c r="L60" s="8">
        <v>11</v>
      </c>
      <c r="M60" s="8">
        <v>3</v>
      </c>
      <c r="N60" s="12">
        <f>Table3[[#This Row],[Total code correct answers]]/Table3[[#This Row],[Total code questions answered]]</f>
        <v>0.27272727272727271</v>
      </c>
      <c r="O60" s="13">
        <v>15.536154660311601</v>
      </c>
      <c r="P60" s="9">
        <v>19</v>
      </c>
      <c r="Q60" s="9">
        <v>14</v>
      </c>
      <c r="R60" s="10">
        <f>Table3[[#This Row],[Total spatial correct answers]]/Table3[[#This Row],[Total spatial questions answered]]</f>
        <v>0.73684210526315785</v>
      </c>
      <c r="S60" s="11">
        <v>14.5890971861387</v>
      </c>
    </row>
    <row r="61" spans="1:19" x14ac:dyDescent="0.25">
      <c r="A61" s="9" t="s">
        <v>82</v>
      </c>
      <c r="B61" s="9" t="s">
        <v>46</v>
      </c>
      <c r="C61" s="9">
        <v>20</v>
      </c>
      <c r="D61" s="9" t="s">
        <v>24</v>
      </c>
      <c r="E61" s="8">
        <v>2</v>
      </c>
      <c r="F61" s="8">
        <v>4</v>
      </c>
      <c r="G61" s="8">
        <v>4</v>
      </c>
      <c r="H61" s="9">
        <v>134</v>
      </c>
      <c r="I61" s="9">
        <v>134</v>
      </c>
      <c r="J61" s="10">
        <f>Table3[[#This Row],[Total math correct answers]]/Table3[[#This Row],[Total math questions answered]]</f>
        <v>1</v>
      </c>
      <c r="K61" s="11">
        <v>3.4744183252106802</v>
      </c>
      <c r="L61" s="8">
        <v>10</v>
      </c>
      <c r="M61" s="8">
        <v>1</v>
      </c>
      <c r="N61" s="12">
        <f>Table3[[#This Row],[Total code correct answers]]/Table3[[#This Row],[Total code questions answered]]</f>
        <v>0.1</v>
      </c>
      <c r="O61" s="13">
        <v>16.900714111328099</v>
      </c>
      <c r="P61" s="9">
        <v>19</v>
      </c>
      <c r="Q61" s="9">
        <v>14</v>
      </c>
      <c r="R61" s="10">
        <f>Table3[[#This Row],[Total spatial correct answers]]/Table3[[#This Row],[Total spatial questions answered]]</f>
        <v>0.73684210526315785</v>
      </c>
      <c r="S61" s="11">
        <v>14.6823303072076</v>
      </c>
    </row>
    <row r="62" spans="1:19" x14ac:dyDescent="0.25">
      <c r="A62" s="9" t="s">
        <v>83</v>
      </c>
      <c r="B62" s="9" t="s">
        <v>46</v>
      </c>
      <c r="C62" s="9">
        <v>19</v>
      </c>
      <c r="D62" s="9" t="s">
        <v>21</v>
      </c>
      <c r="E62" s="8">
        <v>3</v>
      </c>
      <c r="F62" s="8">
        <v>4</v>
      </c>
      <c r="G62" s="8">
        <v>2</v>
      </c>
      <c r="H62" s="9">
        <v>115</v>
      </c>
      <c r="I62" s="9">
        <v>113</v>
      </c>
      <c r="J62" s="10">
        <f>Table3[[#This Row],[Total math correct answers]]/Table3[[#This Row],[Total math questions answered]]</f>
        <v>0.9826086956521739</v>
      </c>
      <c r="K62" s="11">
        <v>3.9314284739287002</v>
      </c>
      <c r="L62" s="8">
        <v>11</v>
      </c>
      <c r="M62" s="8">
        <v>8</v>
      </c>
      <c r="N62" s="12">
        <f>Table3[[#This Row],[Total code correct answers]]/Table3[[#This Row],[Total code questions answered]]</f>
        <v>0.72727272727272729</v>
      </c>
      <c r="O62" s="13">
        <v>17.036761630665101</v>
      </c>
      <c r="P62" s="9">
        <v>19</v>
      </c>
      <c r="Q62" s="9">
        <v>13</v>
      </c>
      <c r="R62" s="10">
        <f>Table3[[#This Row],[Total spatial correct answers]]/Table3[[#This Row],[Total spatial questions answered]]</f>
        <v>0.68421052631578949</v>
      </c>
      <c r="S62" s="11">
        <v>20.549628521266701</v>
      </c>
    </row>
    <row r="63" spans="1:19" x14ac:dyDescent="0.25">
      <c r="A63" s="9" t="s">
        <v>84</v>
      </c>
      <c r="B63" s="9" t="s">
        <v>46</v>
      </c>
      <c r="C63" s="9">
        <v>22</v>
      </c>
      <c r="D63" s="9" t="s">
        <v>24</v>
      </c>
      <c r="E63" s="8">
        <v>4</v>
      </c>
      <c r="F63" s="8">
        <v>4</v>
      </c>
      <c r="G63" s="8">
        <v>3</v>
      </c>
      <c r="H63" s="9">
        <v>127</v>
      </c>
      <c r="I63" s="9">
        <v>121</v>
      </c>
      <c r="J63" s="10">
        <f>Table3[[#This Row],[Total math correct answers]]/Table3[[#This Row],[Total math questions answered]]</f>
        <v>0.952755905511811</v>
      </c>
      <c r="K63" s="11">
        <v>3.7178361115493099</v>
      </c>
      <c r="L63" s="8">
        <v>13</v>
      </c>
      <c r="M63" s="8">
        <v>6</v>
      </c>
      <c r="N63" s="12">
        <f>Table3[[#This Row],[Total code correct answers]]/Table3[[#This Row],[Total code questions answered]]</f>
        <v>0.46153846153846156</v>
      </c>
      <c r="O63" s="13">
        <v>13.1305746298569</v>
      </c>
      <c r="P63" s="9">
        <v>19</v>
      </c>
      <c r="Q63" s="9">
        <v>7</v>
      </c>
      <c r="R63" s="10">
        <f>Table3[[#This Row],[Total spatial correct answers]]/Table3[[#This Row],[Total spatial questions answered]]</f>
        <v>0.36842105263157893</v>
      </c>
      <c r="S63" s="11">
        <v>17.218467875530798</v>
      </c>
    </row>
    <row r="64" spans="1:19" x14ac:dyDescent="0.25">
      <c r="A64" s="9" t="s">
        <v>85</v>
      </c>
      <c r="B64" s="9" t="s">
        <v>46</v>
      </c>
      <c r="C64" s="9">
        <v>19</v>
      </c>
      <c r="D64" s="9" t="s">
        <v>24</v>
      </c>
      <c r="E64" s="8">
        <v>4</v>
      </c>
      <c r="F64" s="8">
        <v>5</v>
      </c>
      <c r="G64" s="8">
        <v>5</v>
      </c>
      <c r="H64" s="9">
        <v>73</v>
      </c>
      <c r="I64" s="9">
        <v>70</v>
      </c>
      <c r="J64" s="10">
        <f>Table3[[#This Row],[Total math correct answers]]/Table3[[#This Row],[Total math questions answered]]</f>
        <v>0.95890410958904104</v>
      </c>
      <c r="K64" s="11">
        <v>6.0239709664697498</v>
      </c>
      <c r="L64" s="8">
        <v>12</v>
      </c>
      <c r="M64" s="8">
        <v>9</v>
      </c>
      <c r="N64" s="12">
        <f>Table3[[#This Row],[Total code correct answers]]/Table3[[#This Row],[Total code questions answered]]</f>
        <v>0.75</v>
      </c>
      <c r="O64" s="13">
        <v>17.169727385043998</v>
      </c>
      <c r="P64" s="9">
        <v>19</v>
      </c>
      <c r="Q64" s="9">
        <v>14</v>
      </c>
      <c r="R64" s="10">
        <f>Table3[[#This Row],[Total spatial correct answers]]/Table3[[#This Row],[Total spatial questions answered]]</f>
        <v>0.73684210526315785</v>
      </c>
      <c r="S64" s="11">
        <v>20.301618990145201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9277-4495-414F-9050-EC00FC2E8033}">
  <dimension ref="A1:H3"/>
  <sheetViews>
    <sheetView tabSelected="1" workbookViewId="0">
      <selection activeCell="C6" sqref="C6"/>
    </sheetView>
  </sheetViews>
  <sheetFormatPr defaultRowHeight="15" x14ac:dyDescent="0.25"/>
  <cols>
    <col min="1" max="1" width="13.42578125" bestFit="1" customWidth="1"/>
    <col min="2" max="2" width="14.5703125" customWidth="1"/>
    <col min="3" max="3" width="13.85546875" customWidth="1"/>
    <col min="4" max="4" width="13.28515625" customWidth="1"/>
    <col min="5" max="5" width="22.7109375" customWidth="1"/>
    <col min="6" max="6" width="18.140625" customWidth="1"/>
    <col min="7" max="7" width="20.140625" customWidth="1"/>
    <col min="8" max="8" width="18.7109375" customWidth="1"/>
  </cols>
  <sheetData>
    <row r="1" spans="1:8" ht="106.5" customHeight="1" x14ac:dyDescent="0.25">
      <c r="A1" s="1" t="s">
        <v>1</v>
      </c>
      <c r="B1" s="1" t="s">
        <v>88</v>
      </c>
      <c r="C1" s="1" t="s">
        <v>87</v>
      </c>
      <c r="D1" s="1" t="s">
        <v>89</v>
      </c>
      <c r="E1" s="1" t="s">
        <v>86</v>
      </c>
      <c r="F1" s="1" t="s">
        <v>90</v>
      </c>
      <c r="G1" s="1" t="s">
        <v>91</v>
      </c>
      <c r="H1" s="1" t="s">
        <v>92</v>
      </c>
    </row>
    <row r="2" spans="1:8" x14ac:dyDescent="0.25">
      <c r="A2" t="s">
        <v>20</v>
      </c>
      <c r="B2">
        <v>1</v>
      </c>
      <c r="C2">
        <v>5</v>
      </c>
      <c r="D2">
        <v>1</v>
      </c>
      <c r="E2">
        <v>89.875</v>
      </c>
      <c r="F2" s="14">
        <v>0.94279999999999997</v>
      </c>
      <c r="G2" s="14">
        <v>0.60060000000000002</v>
      </c>
      <c r="H2" s="14">
        <v>0.65100000000000002</v>
      </c>
    </row>
    <row r="3" spans="1:8" x14ac:dyDescent="0.25">
      <c r="A3" t="s">
        <v>46</v>
      </c>
      <c r="B3">
        <v>9</v>
      </c>
      <c r="C3">
        <v>15</v>
      </c>
      <c r="D3">
        <v>2</v>
      </c>
      <c r="E3">
        <v>90.503</v>
      </c>
      <c r="F3" s="14">
        <v>0.93830000000000002</v>
      </c>
      <c r="G3" s="14">
        <v>0.5625</v>
      </c>
      <c r="H3" s="14">
        <v>0.63060000000000005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metadata</vt:lpstr>
      <vt:lpstr>Group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Rosado Aíza</dc:creator>
  <cp:lastModifiedBy>Juan Pablo Rosado Aíza</cp:lastModifiedBy>
  <dcterms:created xsi:type="dcterms:W3CDTF">2026-01-26T08:24:02Z</dcterms:created>
  <dcterms:modified xsi:type="dcterms:W3CDTF">2026-01-26T08:42:26Z</dcterms:modified>
</cp:coreProperties>
</file>